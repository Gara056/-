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Сравнение позиций" sheetId="2" state="visible" r:id="rId2"/>
    <sheet name="Замены и аналоги" sheetId="3" state="visible" r:id="rId3"/>
    <sheet name="Не хватает и несовпадения" sheetId="4" state="visible" r:id="rId4"/>
  </sheets>
  <definedNames>
    <definedName name="_xlnm.Print_Area" localSheetId="0">'Сводка'!$A$1:$N$48</definedName>
    <definedName name="_xlnm._FilterDatabase" localSheetId="1" hidden="1">'Сравнение позиций'!$A$5:$R$46</definedName>
    <definedName name="_xlnm.Print_Titles" localSheetId="1">'Сравнение позиций'!$1:$5</definedName>
    <definedName name="_xlnm._FilterDatabase" localSheetId="2" hidden="1">'Замены и аналоги'!$A$4:$M$21</definedName>
    <definedName name="_xlnm.Print_Area" localSheetId="3">'Не хватает и несовпадения'!$A$1:$J$28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+0.0%;-0.0%;0.0%"/>
    <numFmt numFmtId="165" formatCode="+#,##0.00;-#,##0.00;0.00"/>
    <numFmt numFmtId="166" formatCode="+0;-0;—"/>
    <numFmt numFmtId="167" formatCode="#,##0.00&quot; ₽&quot;"/>
    <numFmt numFmtId="168" formatCode="0.0%"/>
  </numFmts>
  <fonts count="34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5D8DC"/>
      <sz val="9"/>
    </font>
    <font>
      <name val="Calibri"/>
      <color rgb="00D5D8DC"/>
      <sz val="9"/>
    </font>
    <font>
      <name val="Calibri"/>
      <b val="1"/>
      <color rgb="00FFFFFF"/>
      <sz val="11"/>
    </font>
    <font/>
    <font>
      <name val="Calibri"/>
      <b val="1"/>
      <color rgb="00FFFFFF"/>
      <sz val="10"/>
    </font>
    <font>
      <name val="Calibri"/>
      <color rgb="001C2833"/>
      <sz val="9"/>
    </font>
    <font>
      <name val="Calibri"/>
      <b val="1"/>
      <color rgb="001C2833"/>
      <sz val="10"/>
    </font>
    <font>
      <name val="Calibri"/>
      <color rgb="005D6D7E"/>
      <sz val="9"/>
    </font>
    <font>
      <name val="Calibri"/>
      <b val="1"/>
      <color rgb="00FFFFFF"/>
      <sz val="18"/>
    </font>
    <font>
      <name val="Calibri"/>
      <i val="1"/>
      <color rgb="00FFFFFF"/>
      <sz val="9"/>
    </font>
    <font>
      <name val="Calibri"/>
      <b val="1"/>
      <color rgb="00C0392B"/>
      <sz val="10"/>
    </font>
    <font>
      <name val="Calibri"/>
      <b val="1"/>
      <color rgb="00196F3D"/>
      <sz val="10"/>
    </font>
    <font>
      <name val="Calibri"/>
      <i val="1"/>
      <color rgb="00922B21"/>
      <sz val="9"/>
    </font>
    <font>
      <name val="Calibri"/>
      <i val="1"/>
      <color rgb="00FADBD8"/>
      <sz val="10"/>
    </font>
    <font>
      <name val="Calibri"/>
      <b val="1"/>
      <color rgb="00D35400"/>
      <sz val="12"/>
    </font>
    <font>
      <name val="Calibri"/>
      <b val="1"/>
      <color rgb="00D35400"/>
      <sz val="10"/>
    </font>
    <font>
      <name val="Calibri"/>
      <b val="1"/>
      <color rgb="00922B21"/>
      <sz val="10"/>
    </font>
    <font>
      <name val="Calibri"/>
      <color rgb="001C2833"/>
      <sz val="10"/>
    </font>
    <font>
      <name val="Calibri"/>
      <b val="1"/>
      <color rgb="001C2833"/>
      <sz val="14"/>
    </font>
    <font>
      <name val="Calibri"/>
      <i val="1"/>
      <color rgb="00AEB6BF"/>
      <sz val="10"/>
    </font>
    <font>
      <name val="Calibri"/>
      <b val="1"/>
      <color rgb="001A5276"/>
      <sz val="9"/>
    </font>
    <font>
      <name val="Calibri"/>
      <b val="1"/>
      <color rgb="001A5276"/>
      <sz val="20"/>
    </font>
    <font>
      <name val="Calibri"/>
      <color rgb="001A5276"/>
      <sz val="9"/>
    </font>
    <font>
      <name val="Calibri"/>
      <b val="1"/>
      <color rgb="00B9770E"/>
      <sz val="9"/>
    </font>
    <font>
      <name val="Calibri"/>
      <b val="1"/>
      <color rgb="00B9770E"/>
      <sz val="20"/>
    </font>
    <font>
      <name val="Calibri"/>
      <color rgb="00B9770E"/>
      <sz val="9"/>
    </font>
    <font>
      <name val="Calibri"/>
      <b val="1"/>
      <color rgb="00C0392B"/>
      <sz val="9"/>
    </font>
    <font>
      <name val="Calibri"/>
      <b val="1"/>
      <color rgb="00C0392B"/>
      <sz val="20"/>
    </font>
    <font>
      <name val="Calibri"/>
      <color rgb="00C0392B"/>
      <sz val="9"/>
    </font>
    <font>
      <name val="Calibri"/>
      <b val="1"/>
      <color rgb="007D6608"/>
      <sz val="10"/>
    </font>
    <font>
      <name val="Calibri"/>
      <i val="1"/>
      <color rgb="005D6D7E"/>
      <sz val="9"/>
    </font>
    <font>
      <name val="Calibri"/>
      <color rgb="00AEB6BF"/>
      <sz val="9"/>
    </font>
  </fonts>
  <fills count="27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14365C"/>
      </patternFill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B9770E"/>
      </patternFill>
    </fill>
    <fill>
      <patternFill patternType="solid">
        <fgColor rgb="000E6B6B"/>
      </patternFill>
    </fill>
    <fill>
      <patternFill patternType="solid">
        <fgColor rgb="00EAECEE"/>
      </patternFill>
    </fill>
    <fill>
      <patternFill patternType="solid">
        <fgColor rgb="00FFFFFF"/>
      </patternFill>
    </fill>
    <fill>
      <patternFill patternType="solid">
        <fgColor rgb="00D6EAF8"/>
      </patternFill>
    </fill>
    <fill>
      <patternFill patternType="solid">
        <fgColor rgb="00FDEBD0"/>
      </patternFill>
    </fill>
    <fill>
      <patternFill patternType="solid">
        <fgColor rgb="00F4F7FB"/>
      </patternFill>
    </fill>
    <fill>
      <patternFill patternType="solid">
        <fgColor rgb="00C5DCEA"/>
      </patternFill>
    </fill>
    <fill>
      <patternFill patternType="solid">
        <fgColor rgb="00FAE5C5"/>
      </patternFill>
    </fill>
    <fill>
      <patternFill patternType="solid">
        <fgColor rgb="00F7F9FC"/>
      </patternFill>
    </fill>
    <fill>
      <patternFill patternType="solid">
        <fgColor rgb="009A7D0A"/>
      </patternFill>
    </fill>
    <fill>
      <patternFill patternType="solid">
        <fgColor rgb="007D6608"/>
      </patternFill>
    </fill>
    <fill>
      <patternFill patternType="solid">
        <fgColor rgb="00F5B7B1"/>
      </patternFill>
    </fill>
    <fill>
      <patternFill patternType="solid">
        <fgColor rgb="00922B21"/>
      </patternFill>
    </fill>
    <fill>
      <patternFill patternType="solid">
        <fgColor rgb="007B241C"/>
      </patternFill>
    </fill>
    <fill>
      <patternFill patternType="solid">
        <fgColor rgb="00FAD7A0"/>
      </patternFill>
    </fill>
    <fill>
      <patternFill patternType="solid">
        <fgColor rgb="00196F3D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FADBD8"/>
      </patternFill>
    </fill>
    <fill>
      <patternFill patternType="solid">
        <fgColor rgb="001E8449"/>
      </patternFill>
    </fill>
  </fills>
  <borders count="16">
    <border>
      <left/>
      <right/>
      <top/>
      <bottom/>
      <diagonal/>
    </border>
    <border/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  <border>
      <left style="medium">
        <color rgb="00D6EAF8"/>
      </left>
      <right style="medium">
        <color rgb="00D6EAF8"/>
      </right>
      <top style="medium">
        <color rgb="00D6EAF8"/>
      </top>
      <bottom/>
    </border>
    <border>
      <left style="medium">
        <color rgb="00D6EAF8"/>
      </left>
      <right style="medium">
        <color rgb="00D6EAF8"/>
      </right>
      <top/>
      <bottom/>
    </border>
    <border>
      <left style="medium">
        <color rgb="00D6EAF8"/>
      </left>
      <right style="medium">
        <color rgb="00D6EAF8"/>
      </right>
      <top/>
      <bottom style="medium">
        <color rgb="00D6EAF8"/>
      </bottom>
    </border>
    <border>
      <left style="medium">
        <color rgb="00FDEBD0"/>
      </left>
      <right style="medium">
        <color rgb="00FDEBD0"/>
      </right>
      <top style="medium">
        <color rgb="00FDEBD0"/>
      </top>
      <bottom/>
    </border>
    <border>
      <left style="medium">
        <color rgb="00FDEBD0"/>
      </left>
      <right style="medium">
        <color rgb="00FDEBD0"/>
      </right>
      <top/>
      <bottom/>
    </border>
    <border>
      <left style="medium">
        <color rgb="00FDEBD0"/>
      </left>
      <right style="medium">
        <color rgb="00FDEBD0"/>
      </right>
      <top/>
      <bottom style="medium">
        <color rgb="00FDEBD0"/>
      </bottom>
    </border>
    <border>
      <left style="medium">
        <color rgb="00FADBD8"/>
      </left>
      <right style="medium">
        <color rgb="00FADBD8"/>
      </right>
      <top style="medium">
        <color rgb="00FADBD8"/>
      </top>
      <bottom/>
    </border>
    <border>
      <left style="medium">
        <color rgb="00FADBD8"/>
      </left>
      <right style="medium">
        <color rgb="00FADBD8"/>
      </right>
      <top/>
      <bottom/>
    </border>
    <border>
      <left style="medium">
        <color rgb="00FADBD8"/>
      </left>
      <right style="medium">
        <color rgb="00FADBD8"/>
      </right>
      <top/>
      <bottom style="medium">
        <color rgb="00FADBD8"/>
      </bottom>
    </border>
  </borders>
  <cellStyleXfs count="1">
    <xf numFmtId="0" fontId="0" fillId="0" borderId="0"/>
  </cellStyleXfs>
  <cellXfs count="17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22" fillId="10" borderId="7" applyAlignment="1" pivotButton="0" quotePrefix="0" xfId="0">
      <alignment horizontal="left" vertical="center" indent="1"/>
    </xf>
    <xf numFmtId="0" fontId="0" fillId="10" borderId="7" pivotButton="0" quotePrefix="0" xfId="0"/>
    <xf numFmtId="0" fontId="25" fillId="11" borderId="10" applyAlignment="1" pivotButton="0" quotePrefix="0" xfId="0">
      <alignment horizontal="left" vertical="center" indent="1"/>
    </xf>
    <xf numFmtId="0" fontId="0" fillId="11" borderId="10" pivotButton="0" quotePrefix="0" xfId="0"/>
    <xf numFmtId="0" fontId="28" fillId="25" borderId="13" applyAlignment="1" pivotButton="0" quotePrefix="0" xfId="0">
      <alignment horizontal="left" vertical="center" indent="1"/>
    </xf>
    <xf numFmtId="0" fontId="0" fillId="25" borderId="13" pivotButton="0" quotePrefix="0" xfId="0"/>
    <xf numFmtId="167" fontId="23" fillId="10" borderId="8" applyAlignment="1" pivotButton="0" quotePrefix="0" xfId="0">
      <alignment horizontal="left" vertical="center" indent="1"/>
    </xf>
    <xf numFmtId="0" fontId="0" fillId="10" borderId="8" pivotButton="0" quotePrefix="0" xfId="0"/>
    <xf numFmtId="167" fontId="26" fillId="11" borderId="11" applyAlignment="1" pivotButton="0" quotePrefix="0" xfId="0">
      <alignment horizontal="left" vertical="center" indent="1"/>
    </xf>
    <xf numFmtId="0" fontId="0" fillId="11" borderId="11" pivotButton="0" quotePrefix="0" xfId="0"/>
    <xf numFmtId="167" fontId="29" fillId="25" borderId="14" applyAlignment="1" pivotButton="0" quotePrefix="0" xfId="0">
      <alignment horizontal="left" vertical="center" indent="1"/>
    </xf>
    <xf numFmtId="0" fontId="0" fillId="25" borderId="14" pivotButton="0" quotePrefix="0" xfId="0"/>
    <xf numFmtId="0" fontId="24" fillId="10" borderId="9" applyAlignment="1" pivotButton="0" quotePrefix="0" xfId="0">
      <alignment horizontal="left" vertical="center" wrapText="1" indent="1"/>
    </xf>
    <xf numFmtId="0" fontId="0" fillId="10" borderId="9" pivotButton="0" quotePrefix="0" xfId="0"/>
    <xf numFmtId="0" fontId="27" fillId="11" borderId="12" applyAlignment="1" pivotButton="0" quotePrefix="0" xfId="0">
      <alignment horizontal="left" vertical="center" wrapText="1" indent="1"/>
    </xf>
    <xf numFmtId="0" fontId="0" fillId="11" borderId="12" pivotButton="0" quotePrefix="0" xfId="0"/>
    <xf numFmtId="0" fontId="30" fillId="25" borderId="15" applyAlignment="1" pivotButton="0" quotePrefix="0" xfId="0">
      <alignment horizontal="left" vertical="center" wrapText="1" indent="1"/>
    </xf>
    <xf numFmtId="0" fontId="0" fillId="25" borderId="15" pivotButton="0" quotePrefix="0" xfId="0"/>
    <xf numFmtId="0" fontId="4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18" fillId="18" borderId="2" applyAlignment="1" pivotButton="0" quotePrefix="0" xfId="0">
      <alignment horizontal="left" vertical="center" indent="1"/>
    </xf>
    <xf numFmtId="0" fontId="0" fillId="18" borderId="2" pivotButton="0" quotePrefix="0" xfId="0"/>
    <xf numFmtId="0" fontId="17" fillId="21" borderId="2" applyAlignment="1" pivotButton="0" quotePrefix="0" xfId="0">
      <alignment horizontal="left" vertical="center" indent="1"/>
    </xf>
    <xf numFmtId="0" fontId="0" fillId="21" borderId="2" pivotButton="0" quotePrefix="0" xfId="0"/>
    <xf numFmtId="0" fontId="31" fillId="24" borderId="2" applyAlignment="1" pivotButton="0" quotePrefix="0" xfId="0">
      <alignment horizontal="left" vertical="center" indent="1"/>
    </xf>
    <xf numFmtId="0" fontId="0" fillId="24" borderId="2" pivotButton="0" quotePrefix="0" xfId="0"/>
    <xf numFmtId="0" fontId="7" fillId="18" borderId="2" applyAlignment="1" pivotButton="0" quotePrefix="0" xfId="0">
      <alignment horizontal="left" vertical="top" wrapText="1" indent="1"/>
    </xf>
    <xf numFmtId="0" fontId="7" fillId="21" borderId="2" applyAlignment="1" pivotButton="0" quotePrefix="0" xfId="0">
      <alignment horizontal="left" vertical="top" wrapText="1" indent="1"/>
    </xf>
    <xf numFmtId="0" fontId="7" fillId="24" borderId="2" applyAlignment="1" pivotButton="0" quotePrefix="0" xfId="0">
      <alignment horizontal="left" vertical="top" wrapText="1" indent="1"/>
    </xf>
    <xf numFmtId="0" fontId="6" fillId="3" borderId="2" applyAlignment="1" pivotButton="0" quotePrefix="0" xfId="0">
      <alignment horizontal="center" vertical="center" wrapText="1"/>
    </xf>
    <xf numFmtId="0" fontId="19" fillId="9" borderId="2" applyAlignment="1" pivotButton="0" quotePrefix="0" xfId="0">
      <alignment horizontal="left" vertical="center" wrapText="1"/>
    </xf>
    <xf numFmtId="4" fontId="19" fillId="9" borderId="2" applyAlignment="1" pivotButton="0" quotePrefix="0" xfId="0">
      <alignment horizontal="center" vertical="center" wrapText="1"/>
    </xf>
    <xf numFmtId="165" fontId="19" fillId="9" borderId="2" applyAlignment="1" pivotButton="0" quotePrefix="0" xfId="0">
      <alignment horizontal="center" vertical="center" wrapText="1"/>
    </xf>
    <xf numFmtId="164" fontId="19" fillId="9" borderId="2" applyAlignment="1" pivotButton="0" quotePrefix="0" xfId="0">
      <alignment horizontal="center" vertical="center" wrapText="1"/>
    </xf>
    <xf numFmtId="168" fontId="19" fillId="9" borderId="2" applyAlignment="1" pivotButton="0" quotePrefix="0" xfId="0">
      <alignment horizontal="center" vertical="center" wrapText="1"/>
    </xf>
    <xf numFmtId="0" fontId="19" fillId="12" borderId="2" applyAlignment="1" pivotButton="0" quotePrefix="0" xfId="0">
      <alignment horizontal="left" vertical="center" wrapText="1"/>
    </xf>
    <xf numFmtId="4" fontId="19" fillId="12" borderId="2" applyAlignment="1" pivotButton="0" quotePrefix="0" xfId="0">
      <alignment horizontal="center" vertical="center" wrapText="1"/>
    </xf>
    <xf numFmtId="165" fontId="19" fillId="12" borderId="2" applyAlignment="1" pivotButton="0" quotePrefix="0" xfId="0">
      <alignment horizontal="center" vertical="center" wrapText="1"/>
    </xf>
    <xf numFmtId="164" fontId="19" fillId="12" borderId="2" applyAlignment="1" pivotButton="0" quotePrefix="0" xfId="0">
      <alignment horizontal="center" vertical="center" wrapText="1"/>
    </xf>
    <xf numFmtId="168" fontId="19" fillId="12" borderId="2" applyAlignment="1" pivotButton="0" quotePrefix="0" xfId="0">
      <alignment horizontal="center" vertical="center" wrapText="1"/>
    </xf>
    <xf numFmtId="168" fontId="6" fillId="2" borderId="2" applyAlignment="1" pivotButton="0" quotePrefix="0" xfId="0">
      <alignment horizontal="left" vertical="center" wrapText="1"/>
    </xf>
    <xf numFmtId="4" fontId="6" fillId="2" borderId="2" applyAlignment="1" pivotButton="0" quotePrefix="0" xfId="0">
      <alignment horizontal="center" vertical="center" wrapText="1"/>
    </xf>
    <xf numFmtId="164" fontId="6" fillId="2" borderId="2" applyAlignment="1" pivotButton="0" quotePrefix="0" xfId="0">
      <alignment horizontal="center" vertical="center" wrapText="1"/>
    </xf>
    <xf numFmtId="168" fontId="6" fillId="2" borderId="2" applyAlignment="1" pivotButton="0" quotePrefix="0" xfId="0">
      <alignment horizontal="center" vertical="center" wrapText="1"/>
    </xf>
    <xf numFmtId="0" fontId="8" fillId="23" borderId="2" applyAlignment="1" pivotButton="0" quotePrefix="0" xfId="0">
      <alignment horizontal="left" vertical="center" wrapText="1"/>
    </xf>
    <xf numFmtId="4" fontId="19" fillId="23" borderId="2" applyAlignment="1" pivotButton="0" quotePrefix="0" xfId="0">
      <alignment horizontal="center" vertical="center" wrapText="1"/>
    </xf>
    <xf numFmtId="164" fontId="19" fillId="23" borderId="2" applyAlignment="1" pivotButton="0" quotePrefix="0" xfId="0">
      <alignment horizontal="center" vertical="center" wrapText="1"/>
    </xf>
    <xf numFmtId="0" fontId="19" fillId="23" borderId="2" applyAlignment="1" pivotButton="0" quotePrefix="0" xfId="0">
      <alignment horizontal="center" vertical="center" wrapText="1"/>
    </xf>
    <xf numFmtId="0" fontId="8" fillId="24" borderId="2" applyAlignment="1" pivotButton="0" quotePrefix="0" xfId="0">
      <alignment horizontal="left" vertical="center" wrapText="1"/>
    </xf>
    <xf numFmtId="4" fontId="19" fillId="24" borderId="2" applyAlignment="1" pivotButton="0" quotePrefix="0" xfId="0">
      <alignment horizontal="center" vertical="center" wrapText="1"/>
    </xf>
    <xf numFmtId="164" fontId="19" fillId="24" borderId="2" applyAlignment="1" pivotButton="0" quotePrefix="0" xfId="0">
      <alignment horizontal="center" vertical="center" wrapText="1"/>
    </xf>
    <xf numFmtId="0" fontId="19" fillId="24" borderId="2" applyAlignment="1" pivotButton="0" quotePrefix="0" xfId="0">
      <alignment horizontal="center" vertical="center" wrapText="1"/>
    </xf>
    <xf numFmtId="0" fontId="8" fillId="18" borderId="2" applyAlignment="1" pivotButton="0" quotePrefix="0" xfId="0">
      <alignment horizontal="left" vertical="center" wrapText="1"/>
    </xf>
    <xf numFmtId="4" fontId="19" fillId="18" borderId="2" applyAlignment="1" pivotButton="0" quotePrefix="0" xfId="0">
      <alignment horizontal="center" vertical="center" wrapText="1"/>
    </xf>
    <xf numFmtId="164" fontId="19" fillId="18" borderId="2" applyAlignment="1" pivotButton="0" quotePrefix="0" xfId="0">
      <alignment horizontal="center" vertical="center" wrapText="1"/>
    </xf>
    <xf numFmtId="0" fontId="19" fillId="18" borderId="2" applyAlignment="1" pivotButton="0" quotePrefix="0" xfId="0">
      <alignment horizontal="center" vertical="center" wrapText="1"/>
    </xf>
    <xf numFmtId="0" fontId="4" fillId="22" borderId="1" applyAlignment="1" pivotButton="0" quotePrefix="0" xfId="0">
      <alignment horizontal="left" vertical="center" wrapText="1"/>
    </xf>
    <xf numFmtId="0" fontId="4" fillId="22" borderId="1" applyAlignment="1" pivotButton="0" quotePrefix="0" xfId="0">
      <alignment horizontal="center" vertical="center" wrapText="1"/>
    </xf>
    <xf numFmtId="0" fontId="6" fillId="26" borderId="2" applyAlignment="1" pivotButton="0" quotePrefix="0" xfId="0">
      <alignment horizontal="left" vertical="center" wrapText="1"/>
    </xf>
    <xf numFmtId="0" fontId="6" fillId="26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left" vertical="center" wrapText="1"/>
    </xf>
    <xf numFmtId="165" fontId="12" fillId="9" borderId="2" applyAlignment="1" pivotButton="0" quotePrefix="0" xfId="0">
      <alignment horizontal="center" vertical="center" wrapText="1"/>
    </xf>
    <xf numFmtId="168" fontId="7" fillId="9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center" vertical="center" wrapText="1"/>
    </xf>
    <xf numFmtId="0" fontId="7" fillId="23" borderId="2" applyAlignment="1" pivotButton="0" quotePrefix="0" xfId="0">
      <alignment horizontal="left" vertical="center" wrapText="1"/>
    </xf>
    <xf numFmtId="0" fontId="13" fillId="23" borderId="2" applyAlignment="1" pivotButton="0" quotePrefix="0" xfId="0">
      <alignment horizontal="center" vertical="center" wrapText="1"/>
    </xf>
    <xf numFmtId="0" fontId="7" fillId="18" borderId="2" applyAlignment="1" pivotButton="0" quotePrefix="0" xfId="0">
      <alignment horizontal="left" vertical="center" wrapText="1"/>
    </xf>
    <xf numFmtId="165" fontId="12" fillId="18" borderId="2" applyAlignment="1" pivotButton="0" quotePrefix="0" xfId="0">
      <alignment horizontal="center" vertical="center" wrapText="1"/>
    </xf>
    <xf numFmtId="168" fontId="7" fillId="18" borderId="2" applyAlignment="1" pivotButton="0" quotePrefix="0" xfId="0">
      <alignment horizontal="center" vertical="center" wrapText="1"/>
    </xf>
    <xf numFmtId="0" fontId="7" fillId="18" borderId="2" applyAlignment="1" pivotButton="0" quotePrefix="0" xfId="0">
      <alignment horizontal="center" vertical="center" wrapText="1"/>
    </xf>
    <xf numFmtId="0" fontId="7" fillId="24" borderId="2" applyAlignment="1" pivotButton="0" quotePrefix="0" xfId="0">
      <alignment horizontal="left" vertical="center" wrapText="1"/>
    </xf>
    <xf numFmtId="165" fontId="12" fillId="24" borderId="2" applyAlignment="1" pivotButton="0" quotePrefix="0" xfId="0">
      <alignment horizontal="center" vertical="center" wrapText="1"/>
    </xf>
    <xf numFmtId="168" fontId="7" fillId="24" borderId="2" applyAlignment="1" pivotButton="0" quotePrefix="0" xfId="0">
      <alignment horizontal="center" vertical="center" wrapText="1"/>
    </xf>
    <xf numFmtId="0" fontId="7" fillId="24" borderId="2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left" vertical="center" wrapText="1"/>
    </xf>
    <xf numFmtId="165" fontId="12" fillId="12" borderId="2" applyAlignment="1" pivotButton="0" quotePrefix="0" xfId="0">
      <alignment horizontal="center" vertical="center" wrapText="1"/>
    </xf>
    <xf numFmtId="168" fontId="7" fillId="12" borderId="2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center" vertical="center" wrapText="1"/>
    </xf>
    <xf numFmtId="0" fontId="32" fillId="15" borderId="2" applyAlignment="1" pivotButton="0" quotePrefix="0" xfId="0">
      <alignment horizontal="left" vertical="top" wrapText="1" indent="1"/>
    </xf>
    <xf numFmtId="0" fontId="9" fillId="15" borderId="2" applyAlignment="1" pivotButton="0" quotePrefix="0" xfId="0">
      <alignment horizontal="center" vertical="center" wrapText="1"/>
    </xf>
    <xf numFmtId="0" fontId="3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left" vertical="center" wrapText="1"/>
    </xf>
    <xf numFmtId="0" fontId="7" fillId="10" borderId="2" applyAlignment="1" pivotButton="0" quotePrefix="0" xfId="0">
      <alignment horizontal="left" vertical="center" wrapText="1"/>
    </xf>
    <xf numFmtId="0" fontId="7" fillId="10" borderId="2" applyAlignment="1" pivotButton="0" quotePrefix="0" xfId="0">
      <alignment horizontal="center" vertical="center" wrapText="1"/>
    </xf>
    <xf numFmtId="3" fontId="7" fillId="10" borderId="2" applyAlignment="1" pivotButton="0" quotePrefix="0" xfId="0">
      <alignment horizontal="center" vertical="center" wrapText="1"/>
    </xf>
    <xf numFmtId="4" fontId="7" fillId="10" borderId="2" applyAlignment="1" pivotButton="0" quotePrefix="0" xfId="0">
      <alignment horizontal="right" vertical="center"/>
    </xf>
    <xf numFmtId="0" fontId="7" fillId="11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center" vertical="center" wrapText="1"/>
    </xf>
    <xf numFmtId="3" fontId="7" fillId="11" borderId="2" applyAlignment="1" pivotButton="0" quotePrefix="0" xfId="0">
      <alignment horizontal="center" vertical="center" wrapText="1"/>
    </xf>
    <xf numFmtId="4" fontId="7" fillId="11" borderId="2" applyAlignment="1" pivotButton="0" quotePrefix="0" xfId="0">
      <alignment horizontal="right" vertical="center"/>
    </xf>
    <xf numFmtId="164" fontId="7" fillId="9" borderId="2" applyAlignment="1" pivotButton="0" quotePrefix="0" xfId="0">
      <alignment horizontal="center" vertical="center" wrapText="1"/>
    </xf>
    <xf numFmtId="165" fontId="7" fillId="9" borderId="2" applyAlignment="1" pivotButton="0" quotePrefix="0" xfId="0">
      <alignment horizontal="right" vertical="center"/>
    </xf>
    <xf numFmtId="0" fontId="8" fillId="9" borderId="2" applyAlignment="1" pivotButton="0" quotePrefix="0" xfId="0">
      <alignment horizontal="center" vertical="center" wrapText="1"/>
    </xf>
    <xf numFmtId="166" fontId="7" fillId="9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left" vertical="center" wrapText="1"/>
    </xf>
    <xf numFmtId="0" fontId="7" fillId="13" borderId="2" applyAlignment="1" pivotButton="0" quotePrefix="0" xfId="0">
      <alignment horizontal="left" vertical="center" wrapText="1"/>
    </xf>
    <xf numFmtId="0" fontId="7" fillId="13" borderId="2" applyAlignment="1" pivotButton="0" quotePrefix="0" xfId="0">
      <alignment horizontal="center" vertical="center" wrapText="1"/>
    </xf>
    <xf numFmtId="3" fontId="7" fillId="13" borderId="2" applyAlignment="1" pivotButton="0" quotePrefix="0" xfId="0">
      <alignment horizontal="center" vertical="center" wrapText="1"/>
    </xf>
    <xf numFmtId="4" fontId="7" fillId="13" borderId="2" applyAlignment="1" pivotButton="0" quotePrefix="0" xfId="0">
      <alignment horizontal="right" vertical="center"/>
    </xf>
    <xf numFmtId="0" fontId="7" fillId="14" borderId="2" applyAlignment="1" pivotButton="0" quotePrefix="0" xfId="0">
      <alignment horizontal="left" vertical="center" wrapText="1"/>
    </xf>
    <xf numFmtId="0" fontId="7" fillId="14" borderId="2" applyAlignment="1" pivotButton="0" quotePrefix="0" xfId="0">
      <alignment horizontal="center" vertical="center" wrapText="1"/>
    </xf>
    <xf numFmtId="3" fontId="7" fillId="14" borderId="2" applyAlignment="1" pivotButton="0" quotePrefix="0" xfId="0">
      <alignment horizontal="center" vertical="center" wrapText="1"/>
    </xf>
    <xf numFmtId="4" fontId="7" fillId="14" borderId="2" applyAlignment="1" pivotButton="0" quotePrefix="0" xfId="0">
      <alignment horizontal="right" vertical="center"/>
    </xf>
    <xf numFmtId="164" fontId="7" fillId="12" borderId="2" applyAlignment="1" pivotButton="0" quotePrefix="0" xfId="0">
      <alignment horizontal="center" vertical="center" wrapText="1"/>
    </xf>
    <xf numFmtId="165" fontId="7" fillId="12" borderId="2" applyAlignment="1" pivotButton="0" quotePrefix="0" xfId="0">
      <alignment horizontal="right" vertical="center"/>
    </xf>
    <xf numFmtId="0" fontId="8" fillId="12" borderId="2" applyAlignment="1" pivotButton="0" quotePrefix="0" xfId="0">
      <alignment horizontal="center" vertical="center" wrapText="1"/>
    </xf>
    <xf numFmtId="166" fontId="7" fillId="1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center" vertical="center" wrapText="1"/>
    </xf>
    <xf numFmtId="3" fontId="6" fillId="2" borderId="2" applyAlignment="1" pivotButton="0" quotePrefix="0" xfId="0">
      <alignment horizontal="center" vertical="center" wrapText="1"/>
    </xf>
    <xf numFmtId="165" fontId="6" fillId="2" borderId="2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 wrapText="1"/>
    </xf>
    <xf numFmtId="0" fontId="6" fillId="17" borderId="2" applyAlignment="1" pivotButton="0" quotePrefix="0" xfId="0">
      <alignment horizontal="center" vertical="center" wrapText="1"/>
    </xf>
    <xf numFmtId="3" fontId="7" fillId="9" borderId="2" applyAlignment="1" pivotButton="0" quotePrefix="0" xfId="0">
      <alignment horizontal="center" vertical="center" wrapText="1"/>
    </xf>
    <xf numFmtId="4" fontId="7" fillId="9" borderId="2" applyAlignment="1" pivotButton="0" quotePrefix="0" xfId="0">
      <alignment horizontal="center" vertical="center" wrapText="1"/>
    </xf>
    <xf numFmtId="164" fontId="12" fillId="9" borderId="2" applyAlignment="1" pivotButton="0" quotePrefix="0" xfId="0">
      <alignment horizontal="center" vertical="center" wrapText="1"/>
    </xf>
    <xf numFmtId="3" fontId="7" fillId="18" borderId="2" applyAlignment="1" pivotButton="0" quotePrefix="0" xfId="0">
      <alignment horizontal="center" vertical="center" wrapText="1"/>
    </xf>
    <xf numFmtId="4" fontId="7" fillId="18" borderId="2" applyAlignment="1" pivotButton="0" quotePrefix="0" xfId="0">
      <alignment horizontal="center" vertical="center" wrapText="1"/>
    </xf>
    <xf numFmtId="164" fontId="12" fillId="18" borderId="2" applyAlignment="1" pivotButton="0" quotePrefix="0" xfId="0">
      <alignment horizontal="center" vertical="center" wrapText="1"/>
    </xf>
    <xf numFmtId="3" fontId="7" fillId="12" borderId="2" applyAlignment="1" pivotButton="0" quotePrefix="0" xfId="0">
      <alignment horizontal="center" vertical="center" wrapText="1"/>
    </xf>
    <xf numFmtId="4" fontId="7" fillId="12" borderId="2" applyAlignment="1" pivotButton="0" quotePrefix="0" xfId="0">
      <alignment horizontal="center" vertical="center" wrapText="1"/>
    </xf>
    <xf numFmtId="164" fontId="12" fillId="12" borderId="2" applyAlignment="1" pivotButton="0" quotePrefix="0" xfId="0">
      <alignment horizontal="center" vertical="center" wrapText="1"/>
    </xf>
    <xf numFmtId="164" fontId="13" fillId="9" borderId="2" applyAlignment="1" pivotButton="0" quotePrefix="0" xfId="0">
      <alignment horizontal="center" vertical="center" wrapText="1"/>
    </xf>
    <xf numFmtId="165" fontId="13" fillId="9" borderId="2" applyAlignment="1" pivotButton="0" quotePrefix="0" xfId="0">
      <alignment horizontal="center" vertical="center" wrapText="1"/>
    </xf>
    <xf numFmtId="164" fontId="13" fillId="12" borderId="2" applyAlignment="1" pivotButton="0" quotePrefix="0" xfId="0">
      <alignment horizontal="center" vertical="center" wrapText="1"/>
    </xf>
    <xf numFmtId="165" fontId="13" fillId="12" borderId="2" applyAlignment="1" pivotButton="0" quotePrefix="0" xfId="0">
      <alignment horizontal="center" vertical="center" wrapText="1"/>
    </xf>
    <xf numFmtId="0" fontId="6" fillId="17" borderId="2" applyAlignment="1" pivotButton="0" quotePrefix="0" xfId="0">
      <alignment horizontal="left" vertical="center" wrapText="1"/>
    </xf>
    <xf numFmtId="165" fontId="6" fillId="17" borderId="2" applyAlignment="1" pivotButton="0" quotePrefix="0" xfId="0">
      <alignment horizontal="center" vertical="center" wrapText="1"/>
    </xf>
    <xf numFmtId="0" fontId="14" fillId="18" borderId="1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center" vertical="center" wrapText="1"/>
    </xf>
    <xf numFmtId="0" fontId="1" fillId="19" borderId="1" applyAlignment="1" pivotButton="0" quotePrefix="0" xfId="0">
      <alignment horizontal="left" vertical="center" wrapText="1"/>
    </xf>
    <xf numFmtId="0" fontId="5" fillId="19" borderId="1" applyAlignment="1" pivotButton="0" quotePrefix="0" xfId="0">
      <alignment horizontal="center" vertical="center" wrapText="1"/>
    </xf>
    <xf numFmtId="0" fontId="15" fillId="20" borderId="1" applyAlignment="1" pivotButton="0" quotePrefix="0" xfId="0">
      <alignment horizontal="left" vertical="center" wrapText="1"/>
    </xf>
    <xf numFmtId="0" fontId="5" fillId="20" borderId="1" applyAlignment="1" pivotButton="0" quotePrefix="0" xfId="0">
      <alignment horizontal="center" vertical="center" wrapText="1"/>
    </xf>
    <xf numFmtId="0" fontId="7" fillId="21" borderId="2" applyAlignment="1" pivotButton="0" quotePrefix="0" xfId="0">
      <alignment horizontal="left" vertical="center" wrapText="1"/>
    </xf>
    <xf numFmtId="0" fontId="7" fillId="21" borderId="2" applyAlignment="1" pivotButton="0" quotePrefix="0" xfId="0">
      <alignment horizontal="center" vertical="center" wrapText="1"/>
    </xf>
    <xf numFmtId="3" fontId="7" fillId="21" borderId="2" applyAlignment="1" pivotButton="0" quotePrefix="0" xfId="0">
      <alignment horizontal="center" vertical="center" wrapText="1"/>
    </xf>
    <xf numFmtId="0" fontId="16" fillId="21" borderId="2" applyAlignment="1" pivotButton="0" quotePrefix="0" xfId="0">
      <alignment horizontal="center" vertical="center" wrapText="1"/>
    </xf>
    <xf numFmtId="4" fontId="7" fillId="21" borderId="2" applyAlignment="1" pivotButton="0" quotePrefix="0" xfId="0">
      <alignment horizontal="center" vertical="center" wrapText="1"/>
    </xf>
    <xf numFmtId="4" fontId="17" fillId="21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4" fontId="4" fillId="2" borderId="2" applyAlignment="1" pivotButton="0" quotePrefix="0" xfId="0">
      <alignment horizontal="center" vertical="center" wrapText="1"/>
    </xf>
    <xf numFmtId="164" fontId="18" fillId="18" borderId="2" applyAlignment="1" pivotButton="0" quotePrefix="0" xfId="0">
      <alignment horizontal="center" vertical="center" wrapText="1"/>
    </xf>
    <xf numFmtId="165" fontId="18" fillId="18" borderId="2" applyAlignment="1" pivotButton="0" quotePrefix="0" xfId="0">
      <alignment horizontal="center" vertical="center" wrapText="1"/>
    </xf>
    <xf numFmtId="0" fontId="19" fillId="23" borderId="2" applyAlignment="1" pivotButton="0" quotePrefix="0" xfId="0">
      <alignment horizontal="left" vertical="top" wrapText="1" indent="1"/>
    </xf>
    <xf numFmtId="0" fontId="5" fillId="23" borderId="2" applyAlignment="1" pivotButton="0" quotePrefix="0" xfId="0">
      <alignment horizontal="center" vertical="center" wrapText="1"/>
    </xf>
    <xf numFmtId="0" fontId="9" fillId="15" borderId="2" applyAlignment="1" pivotButton="0" quotePrefix="0" xfId="0">
      <alignment horizontal="left" vertical="center" wrapText="1"/>
    </xf>
    <xf numFmtId="0" fontId="8" fillId="21" borderId="2" applyAlignment="1" pivotButton="0" quotePrefix="0" xfId="0">
      <alignment horizontal="left" vertical="center" wrapText="1"/>
    </xf>
    <xf numFmtId="0" fontId="20" fillId="21" borderId="2" applyAlignment="1" pivotButton="0" quotePrefix="0" xfId="0">
      <alignment horizontal="center" vertical="center" wrapText="1"/>
    </xf>
    <xf numFmtId="0" fontId="5" fillId="21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20" fillId="24" borderId="2" applyAlignment="1" pivotButton="0" quotePrefix="0" xfId="0">
      <alignment horizontal="center" vertical="center" wrapText="1"/>
    </xf>
    <xf numFmtId="0" fontId="5" fillId="24" borderId="2" applyAlignment="1" pivotButton="0" quotePrefix="0" xfId="0">
      <alignment horizontal="center" vertical="center" wrapText="1"/>
    </xf>
    <xf numFmtId="0" fontId="20" fillId="18" borderId="2" applyAlignment="1" pivotButton="0" quotePrefix="0" xfId="0">
      <alignment horizontal="center" vertical="center" wrapText="1"/>
    </xf>
    <xf numFmtId="0" fontId="5" fillId="18" borderId="2" applyAlignment="1" pivotButton="0" quotePrefix="0" xfId="0">
      <alignment horizontal="center" vertical="center" wrapText="1"/>
    </xf>
    <xf numFmtId="0" fontId="20" fillId="23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6">
    <dxf>
      <font>
        <name val="Calibri"/>
        <b val="1"/>
        <color rgb="00C0392B"/>
        <sz val="10"/>
      </font>
      <fill>
        <patternFill patternType="solid">
          <fgColor rgb="00FADBD8"/>
        </patternFill>
      </fill>
    </dxf>
    <dxf>
      <font>
        <name val="Calibri"/>
        <b val="1"/>
        <color rgb="00196F3D"/>
        <sz val="10"/>
      </font>
      <fill>
        <patternFill patternType="solid">
          <fgColor rgb="00D5F5E3"/>
        </patternFill>
      </fill>
    </dxf>
    <dxf>
      <font>
        <name val="Calibri"/>
        <b val="1"/>
        <color rgb="00922B21"/>
        <sz val="10"/>
      </font>
      <fill>
        <patternFill patternType="solid">
          <fgColor rgb="00F5B7B1"/>
        </patternFill>
      </fill>
    </dxf>
    <dxf>
      <font>
        <name val="Calibri"/>
        <b val="1"/>
        <color rgb="007D6608"/>
        <sz val="10"/>
      </font>
      <fill>
        <patternFill patternType="solid">
          <fgColor rgb="00FCF3CF"/>
        </patternFill>
      </fill>
    </dxf>
    <dxf>
      <font>
        <name val="Calibri"/>
        <color rgb="00196F3D"/>
        <sz val="9"/>
      </font>
      <fill>
        <patternFill patternType="solid">
          <fgColor rgb="00D5F5E3"/>
        </patternFill>
      </fill>
    </dxf>
    <dxf>
      <font>
        <name val="Calibri"/>
        <b val="1"/>
        <color rgb="00D35400"/>
        <sz val="10"/>
      </font>
      <fill>
        <patternFill patternType="solid">
          <fgColor rgb="00FAD7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Сумма по группам, 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'Сводка'!C15</f>
            </strRef>
          </tx>
          <spPr>
            <a:solidFill>
              <a:srgbClr val="1A5276"/>
            </a:solidFill>
            <a:ln>
              <a:prstDash val="solid"/>
            </a:ln>
          </spPr>
          <cat>
            <numRef>
              <f>'Сводка'!$B$16:$B$22</f>
            </numRef>
          </cat>
          <val>
            <numRef>
              <f>'Сводка'!$C$16:$C$22</f>
            </numRef>
          </val>
        </ser>
        <ser>
          <idx val="1"/>
          <order val="1"/>
          <tx>
            <strRef>
              <f>'Сводка'!D15</f>
            </strRef>
          </tx>
          <spPr>
            <a:solidFill>
              <a:srgbClr val="B9770E"/>
            </a:solidFill>
            <a:ln>
              <a:prstDash val="solid"/>
            </a:ln>
          </spPr>
          <cat>
            <numRef>
              <f>'Сводка'!$B$16:$B$22</f>
            </numRef>
          </cat>
          <val>
            <numRef>
              <f>'Сводка'!$D$16:$D$22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13</row>
      <rowOff>0</rowOff>
    </from>
    <ext cx="5760000" cy="223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B2:M48"/>
  <sheetViews>
    <sheetView showGridLines="0" zoomScale="11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26" customWidth="1" min="2" max="2"/>
    <col width="15" customWidth="1" min="3" max="3"/>
    <col width="15" customWidth="1" min="4" max="4"/>
    <col width="2.5" customWidth="1" min="5" max="5"/>
    <col width="26" customWidth="1" min="6" max="6"/>
    <col width="15" customWidth="1" min="7" max="7"/>
    <col width="15" customWidth="1" min="8" max="8"/>
    <col width="2.5" customWidth="1" min="9" max="9"/>
    <col width="18" customWidth="1" min="10" max="10"/>
    <col width="14" customWidth="1" min="11" max="11"/>
    <col width="14" customWidth="1" min="12" max="12"/>
    <col width="34" customWidth="1" min="13" max="13"/>
    <col width="2.5" customWidth="1" min="14" max="14"/>
  </cols>
  <sheetData>
    <row r="1" ht="8" customHeight="1"/>
    <row r="2" ht="36" customHeight="1">
      <c r="B2" s="1" t="inlineStr">
        <is>
          <t>Сравнительная аналитика счетов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0" customHeight="1">
      <c r="B3" s="3" t="inlineStr">
        <is>
          <t>Отопление / тёплый пол  ·  дата документов 07.09.2026  ·  покупатель КФХ Галимова Р.М. (в счёте КЛ-1864)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5" ht="18" customHeight="1">
      <c r="B5" s="5" t="inlineStr">
        <is>
          <t>СЧЁТ КЛ-1864</t>
        </is>
      </c>
      <c r="C5" s="6" t="n"/>
      <c r="D5" s="6" t="n"/>
      <c r="F5" s="7" t="inlineStr">
        <is>
          <t>НАКЛАДНАЯ МС</t>
        </is>
      </c>
      <c r="G5" s="8" t="n"/>
      <c r="H5" s="8" t="n"/>
      <c r="J5" s="9" t="inlineStr">
        <is>
          <t>МС ДОРОЖЕ НА</t>
        </is>
      </c>
      <c r="K5" s="10" t="n"/>
      <c r="L5" s="10" t="n"/>
      <c r="M5" s="10" t="n"/>
    </row>
    <row r="6" ht="32" customHeight="1">
      <c r="B6" s="11" t="n">
        <v>461511.57</v>
      </c>
      <c r="C6" s="12" t="n"/>
      <c r="D6" s="12" t="n"/>
      <c r="F6" s="13" t="n">
        <v>599564</v>
      </c>
      <c r="G6" s="14" t="n"/>
      <c r="H6" s="14" t="n"/>
      <c r="J6" s="15" t="n">
        <v>138052.43</v>
      </c>
      <c r="K6" s="16" t="n"/>
      <c r="L6" s="16" t="n"/>
      <c r="M6" s="16" t="n"/>
    </row>
    <row r="7" ht="22" customHeight="1">
      <c r="B7" s="17" t="inlineStr">
        <is>
          <t>ИП Абдулрашитов Р.В.  ·  44 наим.  ·  в т.ч. НДС 22%  83 223,40 ₽</t>
        </is>
      </c>
      <c r="C7" s="18" t="n"/>
      <c r="D7" s="18" t="n"/>
      <c r="F7" s="19" t="inlineStr">
        <is>
          <t>ИП Баширова С.М.  ·  тов. чек 00УТ-015924  ·  47 строк / 41 позиция</t>
        </is>
      </c>
      <c r="G7" s="20" t="n"/>
      <c r="H7" s="20" t="n"/>
      <c r="J7" s="21" t="inlineStr">
        <is>
          <t>относительно КЛ-1864  ·  +29,9%     |     КЛ дешевле МС на 23,0%</t>
        </is>
      </c>
      <c r="K7" s="22" t="n"/>
      <c r="L7" s="22" t="n"/>
      <c r="M7" s="22" t="n"/>
    </row>
    <row r="9" ht="22" customHeight="1">
      <c r="B9" s="23" t="inlineStr">
        <is>
          <t>На что обратить внимание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</row>
    <row r="10" ht="18" customHeight="1">
      <c r="B10" s="25" t="inlineStr">
        <is>
          <t>Не эквивалент</t>
        </is>
      </c>
      <c r="C10" s="26" t="n"/>
      <c r="D10" s="26" t="n"/>
      <c r="F10" s="27" t="inlineStr">
        <is>
          <t>Не хватает в МС</t>
        </is>
      </c>
      <c r="G10" s="28" t="n"/>
      <c r="H10" s="28" t="n"/>
      <c r="J10" s="29" t="inlineStr">
        <is>
          <t>Замены бренда</t>
        </is>
      </c>
      <c r="K10" s="30" t="n"/>
      <c r="L10" s="30" t="n"/>
      <c r="M10" s="30" t="n"/>
    </row>
    <row r="11" ht="28" customHeight="1">
      <c r="B11" s="31" t="inlineStr">
        <is>
          <t>Радиатор 6 секц. Revolution в КЛ заменён на 10 секц. MONOBLOCK в МС. Кран 1″ прямой VT.227S.N.06 заменён на угловой VT.228.N.06.</t>
        </is>
      </c>
      <c r="C11" s="26" t="n"/>
      <c r="D11" s="26" t="n"/>
      <c r="F11" s="32" t="inlineStr">
        <is>
          <t>Пресс 26×1″: в КЛ 10 шт, в МС 8 шт (−2).  Пресс 26×3/4″: в КЛ 6 шт, в МС 5 шт (−1). Остальной состав совпадает по количеству.</t>
        </is>
      </c>
      <c r="G11" s="28" t="n"/>
      <c r="H11" s="28" t="n"/>
      <c r="J11" s="33" t="inlineStr">
        <is>
          <t>Коллекторы ONDO→ТМ, клапан VALTEC→ZEGOR, насос ГВС Vieir→Unipump, гидрострелка Север→Дельта, краны VIEIR→STI.</t>
        </is>
      </c>
      <c r="K11" s="30" t="n"/>
      <c r="L11" s="30" t="n"/>
      <c r="M11" s="30" t="n"/>
    </row>
    <row r="12" ht="36" customHeight="1">
      <c r="B12" s="26" t="n"/>
      <c r="C12" s="26" t="n"/>
      <c r="D12" s="26" t="n"/>
      <c r="F12" s="28" t="n"/>
      <c r="G12" s="28" t="n"/>
      <c r="H12" s="28" t="n"/>
      <c r="J12" s="30" t="n"/>
      <c r="K12" s="30" t="n"/>
      <c r="L12" s="30" t="n"/>
      <c r="M12" s="30" t="n"/>
    </row>
    <row r="14" ht="22" customHeight="1">
      <c r="B14" s="23" t="inlineStr">
        <is>
          <t>Разница по группам товаров</t>
        </is>
      </c>
      <c r="C14" s="24" t="n"/>
      <c r="D14" s="24" t="n"/>
      <c r="E14" s="24" t="n"/>
      <c r="F14" s="24" t="n"/>
      <c r="G14" s="24" t="n"/>
    </row>
    <row r="15" ht="20" customHeight="1">
      <c r="B15" s="34" t="inlineStr">
        <is>
          <t>Группа</t>
        </is>
      </c>
      <c r="C15" s="34" t="inlineStr">
        <is>
          <t>Сумма КЛ, ₽</t>
        </is>
      </c>
      <c r="D15" s="34" t="inlineStr">
        <is>
          <t>Сумма МС, ₽</t>
        </is>
      </c>
      <c r="E15" s="34" t="inlineStr">
        <is>
          <t>Δ, ₽</t>
        </is>
      </c>
      <c r="F15" s="34" t="inlineStr">
        <is>
          <t>МС дороже, %</t>
        </is>
      </c>
      <c r="G15" s="34" t="inlineStr">
        <is>
          <t>Вклад в разницу</t>
        </is>
      </c>
    </row>
    <row r="16" ht="20" customHeight="1">
      <c r="B16" s="35" t="inlineStr">
        <is>
          <t>Радиаторы</t>
        </is>
      </c>
      <c r="C16" s="36">
        <f>SUMIF('Сравнение позиций'!$B$6:$B$46,B16,'Сравнение позиций'!$G$6:$G$46)</f>
        <v/>
      </c>
      <c r="D16" s="36">
        <f>SUMIF('Сравнение позиций'!$B$6:$B$46,B16,'Сравнение позиций'!$L$6:$L$46)</f>
        <v/>
      </c>
      <c r="E16" s="37">
        <f>D16-C16</f>
        <v/>
      </c>
      <c r="F16" s="38">
        <f>IF(C16=0,"",D16/C16-1)</f>
        <v/>
      </c>
      <c r="G16" s="39">
        <f>IF(SUM($E$16:$E$22)=0,"",E16/SUM($E$16:$E$22))</f>
        <v/>
      </c>
    </row>
    <row r="17" ht="20" customHeight="1">
      <c r="B17" s="40" t="inlineStr">
        <is>
          <t>Обвязка радиаторов</t>
        </is>
      </c>
      <c r="C17" s="41">
        <f>SUMIF('Сравнение позиций'!$B$6:$B$46,B17,'Сравнение позиций'!$G$6:$G$46)</f>
        <v/>
      </c>
      <c r="D17" s="41">
        <f>SUMIF('Сравнение позиций'!$B$6:$B$46,B17,'Сравнение позиций'!$L$6:$L$46)</f>
        <v/>
      </c>
      <c r="E17" s="42">
        <f>D17-C17</f>
        <v/>
      </c>
      <c r="F17" s="43">
        <f>IF(C17=0,"",D17/C17-1)</f>
        <v/>
      </c>
      <c r="G17" s="44">
        <f>IF(SUM($E$16:$E$22)=0,"",E17/SUM($E$16:$E$22))</f>
        <v/>
      </c>
    </row>
    <row r="18" ht="20" customHeight="1">
      <c r="B18" s="35" t="inlineStr">
        <is>
          <t>Пресс-фитинги VALTEC</t>
        </is>
      </c>
      <c r="C18" s="36">
        <f>SUMIF('Сравнение позиций'!$B$6:$B$46,B18,'Сравнение позиций'!$G$6:$G$46)</f>
        <v/>
      </c>
      <c r="D18" s="36">
        <f>SUMIF('Сравнение позиций'!$B$6:$B$46,B18,'Сравнение позиций'!$L$6:$L$46)</f>
        <v/>
      </c>
      <c r="E18" s="37">
        <f>D18-C18</f>
        <v/>
      </c>
      <c r="F18" s="38">
        <f>IF(C18=0,"",D18/C18-1)</f>
        <v/>
      </c>
      <c r="G18" s="39">
        <f>IF(SUM($E$16:$E$22)=0,"",E18/SUM($E$16:$E$22))</f>
        <v/>
      </c>
    </row>
    <row r="19" ht="20" customHeight="1">
      <c r="B19" s="40" t="inlineStr">
        <is>
          <t>Трубы и изоляция</t>
        </is>
      </c>
      <c r="C19" s="41">
        <f>SUMIF('Сравнение позиций'!$B$6:$B$46,B19,'Сравнение позиций'!$G$6:$G$46)</f>
        <v/>
      </c>
      <c r="D19" s="41">
        <f>SUMIF('Сравнение позиций'!$B$6:$B$46,B19,'Сравнение позиций'!$L$6:$L$46)</f>
        <v/>
      </c>
      <c r="E19" s="42">
        <f>D19-C19</f>
        <v/>
      </c>
      <c r="F19" s="43">
        <f>IF(C19=0,"",D19/C19-1)</f>
        <v/>
      </c>
      <c r="G19" s="44">
        <f>IF(SUM($E$16:$E$22)=0,"",E19/SUM($E$16:$E$22))</f>
        <v/>
      </c>
    </row>
    <row r="20" ht="20" customHeight="1">
      <c r="B20" s="35" t="inlineStr">
        <is>
          <t>Коллекторы тёплого пола</t>
        </is>
      </c>
      <c r="C20" s="36">
        <f>SUMIF('Сравнение позиций'!$B$6:$B$46,B20,'Сравнение позиций'!$G$6:$G$46)</f>
        <v/>
      </c>
      <c r="D20" s="36">
        <f>SUMIF('Сравнение позиций'!$B$6:$B$46,B20,'Сравнение позиций'!$L$6:$L$46)</f>
        <v/>
      </c>
      <c r="E20" s="37">
        <f>D20-C20</f>
        <v/>
      </c>
      <c r="F20" s="38">
        <f>IF(C20=0,"",D20/C20-1)</f>
        <v/>
      </c>
      <c r="G20" s="39">
        <f>IF(SUM($E$16:$E$22)=0,"",E20/SUM($E$16:$E$22))</f>
        <v/>
      </c>
    </row>
    <row r="21" ht="20" customHeight="1">
      <c r="B21" s="40" t="inlineStr">
        <is>
          <t>Смесители и насосы</t>
        </is>
      </c>
      <c r="C21" s="41">
        <f>SUMIF('Сравнение позиций'!$B$6:$B$46,B21,'Сравнение позиций'!$G$6:$G$46)</f>
        <v/>
      </c>
      <c r="D21" s="41">
        <f>SUMIF('Сравнение позиций'!$B$6:$B$46,B21,'Сравнение позиций'!$L$6:$L$46)</f>
        <v/>
      </c>
      <c r="E21" s="42">
        <f>D21-C21</f>
        <v/>
      </c>
      <c r="F21" s="43">
        <f>IF(C21=0,"",D21/C21-1)</f>
        <v/>
      </c>
      <c r="G21" s="44">
        <f>IF(SUM($E$16:$E$22)=0,"",E21/SUM($E$16:$E$22))</f>
        <v/>
      </c>
    </row>
    <row r="22" ht="20" customHeight="1">
      <c r="B22" s="35" t="inlineStr">
        <is>
          <t>Краны и арматура</t>
        </is>
      </c>
      <c r="C22" s="36">
        <f>SUMIF('Сравнение позиций'!$B$6:$B$46,B22,'Сравнение позиций'!$G$6:$G$46)</f>
        <v/>
      </c>
      <c r="D22" s="36">
        <f>SUMIF('Сравнение позиций'!$B$6:$B$46,B22,'Сравнение позиций'!$L$6:$L$46)</f>
        <v/>
      </c>
      <c r="E22" s="37">
        <f>D22-C22</f>
        <v/>
      </c>
      <c r="F22" s="38">
        <f>IF(C22=0,"",D22/C22-1)</f>
        <v/>
      </c>
      <c r="G22" s="39">
        <f>IF(SUM($E$16:$E$22)=0,"",E22/SUM($E$16:$E$22))</f>
        <v/>
      </c>
    </row>
    <row r="23" ht="22" customHeight="1">
      <c r="B23" s="45" t="inlineStr">
        <is>
          <t>ИТОГО</t>
        </is>
      </c>
      <c r="C23" s="46">
        <f>SUM(C16:C22)</f>
        <v/>
      </c>
      <c r="D23" s="46">
        <f>SUM(D16:D22)</f>
        <v/>
      </c>
      <c r="E23" s="46">
        <f>D23-C23</f>
        <v/>
      </c>
      <c r="F23" s="47">
        <f>D23/C23-1</f>
        <v/>
      </c>
      <c r="G23" s="48" t="n">
        <v>1</v>
      </c>
    </row>
    <row r="25">
      <c r="B25" s="23" t="inlineStr">
        <is>
          <t>Одинаковый товар vs замены</t>
        </is>
      </c>
      <c r="C25" s="24" t="n"/>
      <c r="D25" s="24" t="n"/>
      <c r="E25" s="24" t="n"/>
      <c r="F25" s="24" t="n"/>
      <c r="G25" s="24" t="n"/>
    </row>
    <row r="26">
      <c r="B26" s="34" t="inlineStr">
        <is>
          <t>Категория сопоставления</t>
        </is>
      </c>
      <c r="C26" s="34" t="inlineStr">
        <is>
          <t>Сумма КЛ, ₽</t>
        </is>
      </c>
      <c r="D26" s="34" t="inlineStr">
        <is>
          <t>Сумма МС, ₽</t>
        </is>
      </c>
      <c r="E26" s="34" t="inlineStr">
        <is>
          <t>Δ, ₽</t>
        </is>
      </c>
      <c r="F26" s="34" t="inlineStr">
        <is>
          <t>МС дороже, %</t>
        </is>
      </c>
      <c r="G26" s="34" t="inlineStr">
        <is>
          <t>Позиций</t>
        </is>
      </c>
    </row>
    <row r="27" ht="20" customHeight="1">
      <c r="B27" s="49" t="inlineStr">
        <is>
          <t>Одинаковый артикул / товар</t>
        </is>
      </c>
      <c r="C27" s="50">
        <f>SUMIF('Сравнение позиций'!$P$6:$P$46,"Одинаковый артикул",'Сравнение позиций'!$G$6:$G$46)+SUMIF('Сравнение позиций'!$P$6:$P$46,"Одинаковый товар",'Сравнение позиций'!$G$6:$G$46)</f>
        <v/>
      </c>
      <c r="D27" s="50">
        <f>SUMIF('Сравнение позиций'!$P$6:$P$46,"Одинаковый артикул",'Сравнение позиций'!$L$6:$L$46)+SUMIF('Сравнение позиций'!$P$6:$P$46,"Одинаковый товар",'Сравнение позиций'!$L$6:$L$46)</f>
        <v/>
      </c>
      <c r="E27" s="50">
        <f>D27-C27</f>
        <v/>
      </c>
      <c r="F27" s="51">
        <f>D27/C27-1</f>
        <v/>
      </c>
      <c r="G27" s="52">
        <f>COUNTIF('Сравнение позиций'!$P$6:$P$46,"Одинаковый артикул")+COUNTIF('Сравнение позиций'!$P$6:$P$46,"Одинаковый товар")</f>
        <v/>
      </c>
    </row>
    <row r="28" ht="20" customHeight="1">
      <c r="B28" s="53" t="inlineStr">
        <is>
          <t>Аналоги (другой бренд / серия)</t>
        </is>
      </c>
      <c r="C28" s="54">
        <f>SUMIF('Сравнение позиций'!$P$6:$P$46,"Аналог",'Сравнение позиций'!$G$6:$G$46)</f>
        <v/>
      </c>
      <c r="D28" s="54">
        <f>SUMIF('Сравнение позиций'!$P$6:$P$46,"Аналог",'Сравнение позиций'!$L$6:$L$46)</f>
        <v/>
      </c>
      <c r="E28" s="54">
        <f>D28-C28</f>
        <v/>
      </c>
      <c r="F28" s="55">
        <f>D28/C28-1</f>
        <v/>
      </c>
      <c r="G28" s="56">
        <f>COUNTIF('Сравнение позиций'!$P$6:$P$46,"Аналог")</f>
        <v/>
      </c>
    </row>
    <row r="29" ht="20" customHeight="1">
      <c r="B29" s="57" t="inlineStr">
        <is>
          <t>Не эквивалент (разный товар)</t>
        </is>
      </c>
      <c r="C29" s="58">
        <f>SUMIF('Сравнение позиций'!$P$6:$P$46,"Не эквивалент",'Сравнение позиций'!$G$6:$G$46)</f>
        <v/>
      </c>
      <c r="D29" s="58">
        <f>SUMIF('Сравнение позиций'!$P$6:$P$46,"Не эквивалент",'Сравнение позиций'!$L$6:$L$46)</f>
        <v/>
      </c>
      <c r="E29" s="58">
        <f>D29-C29</f>
        <v/>
      </c>
      <c r="F29" s="59">
        <f>D29/C29-1</f>
        <v/>
      </c>
      <c r="G29" s="60">
        <f>COUNTIF('Сравнение позиций'!$P$6:$P$46,"Не эквивалент")</f>
        <v/>
      </c>
    </row>
    <row r="32">
      <c r="B32" s="23" t="inlineStr">
        <is>
          <t>Топ удорожаний МС  ·  вклад в разницу счетов</t>
        </is>
      </c>
      <c r="C32" s="24" t="n"/>
      <c r="D32" s="24" t="n"/>
      <c r="E32" s="24" t="n"/>
      <c r="F32" s="24" t="n"/>
      <c r="G32" s="24" t="n"/>
      <c r="J32" s="61" t="inlineStr">
        <is>
          <t>Где дороже КЛ-1864 (редко)</t>
        </is>
      </c>
      <c r="K32" s="62" t="n"/>
      <c r="L32" s="62" t="n"/>
      <c r="M32" s="62" t="n"/>
    </row>
    <row r="33">
      <c r="B33" s="34" t="inlineStr">
        <is>
          <t>Позиция</t>
        </is>
      </c>
      <c r="C33" s="34" t="inlineStr">
        <is>
          <t>Δ сумма, ₽</t>
        </is>
      </c>
      <c r="D33" s="34" t="inlineStr">
        <is>
          <t>МС дороже, %</t>
        </is>
      </c>
      <c r="E33" s="34" t="inlineStr">
        <is>
          <t>Тип</t>
        </is>
      </c>
      <c r="F33" s="34" t="inlineStr">
        <is>
          <t>Почему так</t>
        </is>
      </c>
      <c r="J33" s="63" t="inlineStr">
        <is>
          <t>Позиция</t>
        </is>
      </c>
      <c r="K33" s="64" t="n"/>
      <c r="L33" s="64" t="n"/>
      <c r="M33" s="64" t="inlineStr">
        <is>
          <t>КЛ дороже</t>
        </is>
      </c>
    </row>
    <row r="34" ht="20" customHeight="1">
      <c r="B34" s="65" t="inlineStr">
        <is>
          <t>Труба м/п Valtec 16×2, 1400 м</t>
        </is>
      </c>
      <c r="C34" s="66" t="n">
        <v>39732</v>
      </c>
      <c r="D34" s="67" t="n">
        <v>0.282</v>
      </c>
      <c r="E34" s="65" t="inlineStr">
        <is>
          <t>Одинаковый артикул</t>
        </is>
      </c>
      <c r="F34" s="65" t="inlineStr">
        <is>
          <t>Одинаковый VALTEC, наценка МС ~28%</t>
        </is>
      </c>
      <c r="G34" s="68" t="n"/>
      <c r="J34" s="69" t="inlineStr">
        <is>
          <t>Клапан ручной 1/2″ VALTEC vs ZEGOR</t>
        </is>
      </c>
      <c r="K34" s="69" t="n"/>
      <c r="L34" s="69" t="n"/>
      <c r="M34" s="70" t="inlineStr">
        <is>
          <t>+11,4%</t>
        </is>
      </c>
    </row>
    <row r="35" ht="20" customHeight="1">
      <c r="B35" s="71" t="inlineStr">
        <is>
          <t>Радиатор 6 секц. → 10 секц. MONOBLOCK</t>
        </is>
      </c>
      <c r="C35" s="72" t="n">
        <v>32135</v>
      </c>
      <c r="D35" s="73" t="n">
        <v>0.974</v>
      </c>
      <c r="E35" s="71" t="inlineStr">
        <is>
          <t>Не эквивалент</t>
        </is>
      </c>
      <c r="F35" s="71" t="inlineStr">
        <is>
          <t>Другой товар: больше секций</t>
        </is>
      </c>
      <c r="G35" s="74" t="n"/>
      <c r="J35" s="69" t="inlineStr">
        <is>
          <t>Заглушка 1/2″ нар. VALTEC vs VRT</t>
        </is>
      </c>
      <c r="K35" s="69" t="n"/>
      <c r="L35" s="69" t="n"/>
      <c r="M35" s="70" t="inlineStr">
        <is>
          <t>+24,3%</t>
        </is>
      </c>
    </row>
    <row r="36" ht="20" customHeight="1">
      <c r="B36" s="65" t="inlineStr">
        <is>
          <t>Смесительный узел VT.COMBI.0.180 ×2</t>
        </is>
      </c>
      <c r="C36" s="66" t="n">
        <v>18312</v>
      </c>
      <c r="D36" s="67" t="n">
        <v>0.333</v>
      </c>
      <c r="E36" s="65" t="inlineStr">
        <is>
          <t>Одинаковый артикул</t>
        </is>
      </c>
      <c r="F36" s="65" t="inlineStr">
        <is>
          <t>Одинаковый узел, МС +33%</t>
        </is>
      </c>
      <c r="G36" s="68" t="n"/>
      <c r="J36" s="69" t="inlineStr">
        <is>
          <t>Гидрострелка Север vs Дельта</t>
        </is>
      </c>
      <c r="K36" s="69" t="n"/>
      <c r="L36" s="69" t="n"/>
      <c r="M36" s="70" t="inlineStr">
        <is>
          <t>+3,8%</t>
        </is>
      </c>
    </row>
    <row r="37" ht="20" customHeight="1">
      <c r="B37" s="75" t="inlineStr">
        <is>
          <t>Насос ГВС Vieir → Unipump LPA</t>
        </is>
      </c>
      <c r="C37" s="76" t="n">
        <v>6665</v>
      </c>
      <c r="D37" s="77" t="n">
        <v>1.46</v>
      </c>
      <c r="E37" s="75" t="inlineStr">
        <is>
          <t>Аналог</t>
        </is>
      </c>
      <c r="F37" s="75" t="inlineStr">
        <is>
          <t>Другая модель и монтажная длина</t>
        </is>
      </c>
      <c r="G37" s="78" t="n"/>
      <c r="J37" s="69" t="inlineStr">
        <is>
          <t>Коллектор 5 вых. ONDO vs ТМ</t>
        </is>
      </c>
      <c r="K37" s="69" t="n"/>
      <c r="L37" s="69" t="n"/>
      <c r="M37" s="70" t="inlineStr">
        <is>
          <t>+3,3%</t>
        </is>
      </c>
    </row>
    <row r="38" ht="20" customHeight="1">
      <c r="B38" s="75" t="inlineStr">
        <is>
          <t>Радиатор 8 секц. Revolution → MONOBLOCK</t>
        </is>
      </c>
      <c r="C38" s="76" t="n">
        <v>5594</v>
      </c>
      <c r="D38" s="77" t="n">
        <v>0.127</v>
      </c>
      <c r="E38" s="75" t="inlineStr">
        <is>
          <t>Аналог</t>
        </is>
      </c>
      <c r="F38" s="75" t="inlineStr">
        <is>
          <t>Другая серия Royal Thermo</t>
        </is>
      </c>
      <c r="G38" s="78" t="n"/>
      <c r="J38" s="69" t="inlineStr">
        <is>
          <t>Заглушка 1″ вн. VALTEC vs VRT</t>
        </is>
      </c>
      <c r="K38" s="69" t="n"/>
      <c r="L38" s="69" t="n"/>
      <c r="M38" s="70" t="inlineStr">
        <is>
          <t>+4,9%</t>
        </is>
      </c>
    </row>
    <row r="39" ht="20" customHeight="1">
      <c r="B39" s="75" t="inlineStr">
        <is>
          <t>Радиатор 12 секц. Revolution → MONOBLOCK</t>
        </is>
      </c>
      <c r="C39" s="76" t="n">
        <v>4199</v>
      </c>
      <c r="D39" s="77" t="n">
        <v>0.127</v>
      </c>
      <c r="E39" s="75" t="inlineStr">
        <is>
          <t>Аналог</t>
        </is>
      </c>
      <c r="F39" s="75" t="inlineStr">
        <is>
          <t>Другая серия Royal Thermo</t>
        </is>
      </c>
      <c r="G39" s="78" t="n"/>
    </row>
    <row r="40" ht="20" customHeight="1">
      <c r="B40" s="65" t="inlineStr">
        <is>
          <t>Труба м/п Valtec 20×2, 100 м</t>
        </is>
      </c>
      <c r="C40" s="66" t="n">
        <v>3762</v>
      </c>
      <c r="D40" s="67" t="n">
        <v>0.282</v>
      </c>
      <c r="E40" s="65" t="inlineStr">
        <is>
          <t>Одинаковый товар</t>
        </is>
      </c>
      <c r="F40" s="65" t="inlineStr">
        <is>
          <t>Одинаковый VALTEC, наценка ~28%</t>
        </is>
      </c>
      <c r="G40" s="68" t="n"/>
    </row>
    <row r="41" ht="20" customHeight="1">
      <c r="B41" s="79" t="inlineStr">
        <is>
          <t>Насос VALTEC RS 25/6-180 ×4</t>
        </is>
      </c>
      <c r="C41" s="80" t="n">
        <v>3758</v>
      </c>
      <c r="D41" s="81" t="n">
        <v>0.282</v>
      </c>
      <c r="E41" s="79" t="inlineStr">
        <is>
          <t>Одинаковый артикул</t>
        </is>
      </c>
      <c r="F41" s="79" t="inlineStr">
        <is>
          <t>Одинаковый VALTEC, наценка ~28%</t>
        </is>
      </c>
      <c r="G41" s="82" t="n"/>
    </row>
    <row r="42" ht="20" customHeight="1">
      <c r="B42" s="65" t="inlineStr">
        <is>
          <t>Труба м/п Valtec 26×3, 50 м</t>
        </is>
      </c>
      <c r="C42" s="66" t="n">
        <v>3421</v>
      </c>
      <c r="D42" s="67" t="n">
        <v>0.282</v>
      </c>
      <c r="E42" s="65" t="inlineStr">
        <is>
          <t>Одинаковый товар</t>
        </is>
      </c>
      <c r="F42" s="65" t="inlineStr">
        <is>
          <t>Одинаковый VALTEC, наценка ~28%</t>
        </is>
      </c>
      <c r="G42" s="68" t="n"/>
    </row>
    <row r="43" ht="20" customHeight="1">
      <c r="B43" s="79" t="inlineStr">
        <is>
          <t>Пресс-уголок 26×26 ×17</t>
        </is>
      </c>
      <c r="C43" s="80" t="n">
        <v>2872</v>
      </c>
      <c r="D43" s="81" t="n">
        <v>0.282</v>
      </c>
      <c r="E43" s="79" t="inlineStr">
        <is>
          <t>Одинаковый артикул</t>
        </is>
      </c>
      <c r="F43" s="79" t="inlineStr">
        <is>
          <t>Одинаковый VALTEC, наценка ~28%</t>
        </is>
      </c>
      <c r="G43" s="82" t="n"/>
    </row>
    <row r="45" ht="22" customHeight="1">
      <c r="B45" s="83" t="inlineStr">
        <is>
          <t>Методика. Позиции сопоставлены по артикулу VALTEC, затем по назначению (аналоги). Одинаковые позиции, разбитые в МС на несколько строк (насосы, пресс 26×1, уголок 26), сложены. Δ цена ед. = цена МС / цена КЛ − 1. Итоги документов: КЛ-1864 = 461 511,57 ₽ с НДС 22%; МС = 599 564 ₽. Сумма строк сравнения может отличаться от итога документа на 1–2 ₽ из-за округления цена × кол-во. В счёте КЛ-1864 НДС выделен отдельно (в т.ч.); в товарном чеке МС НДС не выделен — сравниваются цены «как в документе».</t>
        </is>
      </c>
      <c r="C45" s="84" t="n"/>
      <c r="D45" s="84" t="n"/>
      <c r="E45" s="84" t="n"/>
      <c r="F45" s="84" t="n"/>
      <c r="G45" s="84" t="n"/>
      <c r="H45" s="84" t="n"/>
      <c r="I45" s="84" t="n"/>
      <c r="J45" s="84" t="n"/>
      <c r="K45" s="84" t="n"/>
      <c r="L45" s="84" t="n"/>
      <c r="M45" s="84" t="n"/>
    </row>
    <row r="46" ht="22" customHeight="1">
      <c r="B46" s="84" t="n"/>
      <c r="C46" s="84" t="n"/>
      <c r="D46" s="84" t="n"/>
      <c r="E46" s="84" t="n"/>
      <c r="F46" s="84" t="n"/>
      <c r="G46" s="84" t="n"/>
      <c r="H46" s="84" t="n"/>
      <c r="I46" s="84" t="n"/>
      <c r="J46" s="84" t="n"/>
      <c r="K46" s="84" t="n"/>
      <c r="L46" s="84" t="n"/>
      <c r="M46" s="84" t="n"/>
    </row>
    <row r="48">
      <c r="B48" s="85" t="inlineStr">
        <is>
          <t>Листы:  Сводка  →  Сравнение позиций (фильтры)  →  Замены и аналоги  →  Не хватает и несовпадения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</row>
  </sheetData>
  <mergeCells count="41">
    <mergeCell ref="B2:M2"/>
    <mergeCell ref="B48:M48"/>
    <mergeCell ref="F5:H5"/>
    <mergeCell ref="B14:G14"/>
    <mergeCell ref="J36:L36"/>
    <mergeCell ref="F11:H12"/>
    <mergeCell ref="B33"/>
    <mergeCell ref="F34:G34"/>
    <mergeCell ref="J34:L34"/>
    <mergeCell ref="B45:M46"/>
    <mergeCell ref="J35:L35"/>
    <mergeCell ref="F40:G40"/>
    <mergeCell ref="B10:D10"/>
    <mergeCell ref="J11:M12"/>
    <mergeCell ref="F36:G36"/>
    <mergeCell ref="F42:G42"/>
    <mergeCell ref="B9:M9"/>
    <mergeCell ref="J5:M5"/>
    <mergeCell ref="B6:D6"/>
    <mergeCell ref="F41:G41"/>
    <mergeCell ref="F35:G35"/>
    <mergeCell ref="J10:M10"/>
    <mergeCell ref="B5:D5"/>
    <mergeCell ref="B11:D12"/>
    <mergeCell ref="J33:L33"/>
    <mergeCell ref="F38:G38"/>
    <mergeCell ref="B32:G32"/>
    <mergeCell ref="J6:M6"/>
    <mergeCell ref="B7:D7"/>
    <mergeCell ref="B25:G25"/>
    <mergeCell ref="F43:G43"/>
    <mergeCell ref="F10:H10"/>
    <mergeCell ref="F37:G37"/>
    <mergeCell ref="F39:G39"/>
    <mergeCell ref="F6:H6"/>
    <mergeCell ref="J38:L38"/>
    <mergeCell ref="B3:M3"/>
    <mergeCell ref="J37:L37"/>
    <mergeCell ref="F7:H7"/>
    <mergeCell ref="J32:M32"/>
    <mergeCell ref="J7:M7"/>
  </mergeCells>
  <pageMargins left="0.4" right="0.4" top="0.5" bottom="0.5" header="0.5" footer="0.5"/>
  <pageSetup orientation="landscape" paperSize="9" fitToHeight="1" fitToWidth="1"/>
  <headerFooter>
    <oddHeader>&amp;LСравнение счетов КЛ-1864 и МС</oddHeader>
    <oddFooter>&amp;RСтр. &amp;P /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E6B6B"/>
    <outlinePr summaryBelow="1" summaryRight="1"/>
    <pageSetUpPr fitToPage="1"/>
  </sheetPr>
  <dimension ref="A1:R49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46" customWidth="1" min="3" max="3"/>
    <col width="20" customWidth="1" min="4" max="4"/>
    <col width="10" customWidth="1" min="5" max="5"/>
    <col width="12" customWidth="1" min="6" max="6"/>
    <col width="13" customWidth="1" min="7" max="7"/>
    <col width="46" customWidth="1" min="8" max="8"/>
    <col width="20" customWidth="1" min="9" max="9"/>
    <col width="10" customWidth="1" min="10" max="10"/>
    <col width="12" customWidth="1" min="11" max="11"/>
    <col width="13" customWidth="1" min="12" max="12"/>
    <col width="12" customWidth="1" min="13" max="13"/>
    <col width="16" customWidth="1" min="14" max="14"/>
    <col width="13" customWidth="1" min="15" max="15"/>
    <col width="20" customWidth="1" min="16" max="16"/>
    <col width="12" customWidth="1" min="17" max="17"/>
    <col width="42" customWidth="1" min="18" max="18"/>
  </cols>
  <sheetData>
    <row r="1" ht="32" customHeight="1">
      <c r="A1" s="1" t="inlineStr">
        <is>
          <t>Сравнение позиций  ·  счёт КЛ-1864  vs  накладная МС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0" customHeight="1">
      <c r="A2" s="86" t="inlineStr">
        <is>
          <t>Фильтр по группе / типу сопоставления включён в шапке.  Красный % — МС дороже, зелёный — КЛ дороже.  Жёлтый тип — аналог, красный — не эквивалент.  Суммы = цена × количество (формулы, можно править цены).</t>
        </is>
      </c>
      <c r="B2" s="87" t="n"/>
      <c r="C2" s="87" t="n"/>
      <c r="D2" s="87" t="n"/>
      <c r="E2" s="87" t="n"/>
      <c r="F2" s="87" t="n"/>
      <c r="G2" s="87" t="n"/>
      <c r="H2" s="87" t="n"/>
      <c r="I2" s="87" t="n"/>
      <c r="J2" s="87" t="n"/>
      <c r="K2" s="87" t="n"/>
      <c r="L2" s="87" t="n"/>
      <c r="M2" s="87" t="n"/>
      <c r="N2" s="87" t="n"/>
      <c r="O2" s="87" t="n"/>
      <c r="P2" s="87" t="n"/>
      <c r="Q2" s="87" t="n"/>
      <c r="R2" s="87" t="n"/>
    </row>
    <row r="3" ht="22" customHeight="1">
      <c r="A3" s="88" t="inlineStr"/>
      <c r="B3" s="88" t="n"/>
      <c r="C3" s="89" t="inlineStr">
        <is>
          <t>КЛ-1864  ·  ИП Абдулрашитов Р.В.  ·  07.09.2026</t>
        </is>
      </c>
      <c r="D3" s="89" t="n"/>
      <c r="E3" s="89" t="n"/>
      <c r="F3" s="89" t="n"/>
      <c r="G3" s="89" t="n"/>
      <c r="H3" s="90" t="inlineStr">
        <is>
          <t>МС  ·  ИП Баширова С.М.  ·  расходная накладная 00УТ-015924  ·  07.09.2026</t>
        </is>
      </c>
      <c r="I3" s="90" t="n"/>
      <c r="J3" s="90" t="n"/>
      <c r="K3" s="90" t="n"/>
      <c r="L3" s="90" t="n"/>
      <c r="M3" s="91" t="inlineStr">
        <is>
          <t>Сравнение</t>
        </is>
      </c>
      <c r="N3" s="91" t="n"/>
      <c r="O3" s="91" t="n"/>
      <c r="P3" s="91" t="n"/>
      <c r="Q3" s="91" t="n"/>
      <c r="R3" s="91" t="n"/>
    </row>
    <row r="4" ht="6" customHeight="1">
      <c r="A4" s="92" t="n"/>
      <c r="B4" s="92" t="n"/>
      <c r="C4" s="92" t="n"/>
      <c r="D4" s="92" t="n"/>
      <c r="E4" s="92" t="n"/>
      <c r="F4" s="92" t="n"/>
      <c r="G4" s="92" t="n"/>
      <c r="H4" s="92" t="n"/>
      <c r="I4" s="92" t="n"/>
      <c r="J4" s="92" t="n"/>
      <c r="K4" s="92" t="n"/>
      <c r="L4" s="92" t="n"/>
      <c r="M4" s="92" t="n"/>
      <c r="N4" s="92" t="n"/>
      <c r="O4" s="92" t="n"/>
      <c r="P4" s="92" t="n"/>
      <c r="Q4" s="92" t="n"/>
      <c r="R4" s="92" t="n"/>
    </row>
    <row r="5" ht="28" customHeight="1">
      <c r="A5" s="93" t="inlineStr">
        <is>
          <t>№</t>
        </is>
      </c>
      <c r="B5" s="93" t="inlineStr">
        <is>
          <t>Группа</t>
        </is>
      </c>
      <c r="C5" s="94" t="inlineStr">
        <is>
          <t>Наименование КЛ-1864</t>
        </is>
      </c>
      <c r="D5" s="94" t="inlineStr">
        <is>
          <t>Артикул КЛ</t>
        </is>
      </c>
      <c r="E5" s="94" t="inlineStr">
        <is>
          <t>Кол-во</t>
        </is>
      </c>
      <c r="F5" s="94" t="inlineStr">
        <is>
          <t>Цена, ₽</t>
        </is>
      </c>
      <c r="G5" s="94" t="inlineStr">
        <is>
          <t>Сумма, ₽</t>
        </is>
      </c>
      <c r="H5" s="95" t="inlineStr">
        <is>
          <t>Наименование МС</t>
        </is>
      </c>
      <c r="I5" s="95" t="inlineStr">
        <is>
          <t>Артикул МС</t>
        </is>
      </c>
      <c r="J5" s="95" t="inlineStr">
        <is>
          <t>Кол-во</t>
        </is>
      </c>
      <c r="K5" s="95" t="inlineStr">
        <is>
          <t>Цена, ₽</t>
        </is>
      </c>
      <c r="L5" s="95" t="inlineStr">
        <is>
          <t>Сумма, ₽</t>
        </is>
      </c>
      <c r="M5" s="96" t="inlineStr">
        <is>
          <t>Δ цена ед.</t>
        </is>
      </c>
      <c r="N5" s="96" t="inlineStr">
        <is>
          <t>Кто дороже</t>
        </is>
      </c>
      <c r="O5" s="96" t="inlineStr">
        <is>
          <t>Δ сумма, ₽</t>
        </is>
      </c>
      <c r="P5" s="96" t="inlineStr">
        <is>
          <t>Тип сопоставления</t>
        </is>
      </c>
      <c r="Q5" s="96" t="inlineStr">
        <is>
          <t>Δ кол-во</t>
        </is>
      </c>
      <c r="R5" s="96" t="inlineStr">
        <is>
          <t>Комментарий</t>
        </is>
      </c>
    </row>
    <row r="6" ht="36" customHeight="1">
      <c r="A6" s="68" t="n">
        <v>1</v>
      </c>
      <c r="B6" s="97" t="inlineStr">
        <is>
          <t>Радиаторы</t>
        </is>
      </c>
      <c r="C6" s="98" t="inlineStr">
        <is>
          <t>Радиатор алюм. Royal Thermo Revolution 500, 8 секц.</t>
        </is>
      </c>
      <c r="D6" s="99" t="inlineStr">
        <is>
          <t>—</t>
        </is>
      </c>
      <c r="E6" s="100" t="n">
        <v>6</v>
      </c>
      <c r="F6" s="101" t="n">
        <v>7333.6</v>
      </c>
      <c r="G6" s="101">
        <f>E6*F6</f>
        <v/>
      </c>
      <c r="H6" s="102" t="inlineStr">
        <is>
          <t>Радиатор алюм. Royal Thermo MONOBLOCK A 500×80, 8 секц.</t>
        </is>
      </c>
      <c r="I6" s="103" t="inlineStr">
        <is>
          <t>542451</t>
        </is>
      </c>
      <c r="J6" s="104" t="n">
        <v>6</v>
      </c>
      <c r="K6" s="105" t="n">
        <v>8266</v>
      </c>
      <c r="L6" s="105">
        <f>J6*K6</f>
        <v/>
      </c>
      <c r="M6" s="106">
        <f>IF(F6=0,"",K6/F6-1)</f>
        <v/>
      </c>
      <c r="N6" s="68">
        <f>IF(ABS(K6-F6)&lt;0.005,"равно",IF(K6&gt;F6,"МС дороже","КЛ дороже"))</f>
        <v/>
      </c>
      <c r="O6" s="107">
        <f>L6-G6</f>
        <v/>
      </c>
      <c r="P6" s="108" t="inlineStr">
        <is>
          <t>Аналог</t>
        </is>
      </c>
      <c r="Q6" s="109">
        <f>J6-E6</f>
        <v/>
      </c>
      <c r="R6" s="65" t="inlineStr">
        <is>
          <t>Другая серия: Revolution vs MONOBLOCK A</t>
        </is>
      </c>
    </row>
    <row r="7" ht="36" customHeight="1">
      <c r="A7" s="82" t="n">
        <v>2</v>
      </c>
      <c r="B7" s="110" t="inlineStr">
        <is>
          <t>Радиаторы</t>
        </is>
      </c>
      <c r="C7" s="111" t="inlineStr">
        <is>
          <t>Радиатор алюм. Royal Thermo Revolution 500, 6 секц.</t>
        </is>
      </c>
      <c r="D7" s="112" t="inlineStr">
        <is>
          <t>—</t>
        </is>
      </c>
      <c r="E7" s="113" t="n">
        <v>6</v>
      </c>
      <c r="F7" s="114" t="n">
        <v>5500.2</v>
      </c>
      <c r="G7" s="114">
        <f>E7*F7</f>
        <v/>
      </c>
      <c r="H7" s="115" t="inlineStr">
        <is>
          <t>Радиатор алюм. Royal Thermo MONOBLOCK A 500×80, 10 секц.</t>
        </is>
      </c>
      <c r="I7" s="116" t="inlineStr">
        <is>
          <t>542452</t>
        </is>
      </c>
      <c r="J7" s="117" t="n">
        <v>6</v>
      </c>
      <c r="K7" s="118" t="n">
        <v>10856</v>
      </c>
      <c r="L7" s="118">
        <f>J7*K7</f>
        <v/>
      </c>
      <c r="M7" s="119">
        <f>IF(F7=0,"",K7/F7-1)</f>
        <v/>
      </c>
      <c r="N7" s="82">
        <f>IF(ABS(K7-F7)&lt;0.005,"равно",IF(K7&gt;F7,"МС дороже","КЛ дороже"))</f>
        <v/>
      </c>
      <c r="O7" s="120">
        <f>L7-G7</f>
        <v/>
      </c>
      <c r="P7" s="121" t="inlineStr">
        <is>
          <t>Не эквивалент</t>
        </is>
      </c>
      <c r="Q7" s="122">
        <f>J7-E7</f>
        <v/>
      </c>
      <c r="R7" s="79" t="inlineStr">
        <is>
          <t>КРИТИЧНО: 6 секций vs 10 секций + другая серия</t>
        </is>
      </c>
    </row>
    <row r="8" ht="36" customHeight="1">
      <c r="A8" s="68" t="n">
        <v>3</v>
      </c>
      <c r="B8" s="97" t="inlineStr">
        <is>
          <t>Радиаторы</t>
        </is>
      </c>
      <c r="C8" s="98" t="inlineStr">
        <is>
          <t>Радиатор алюм. Royal Thermo Revolution 500, 12 секц.</t>
        </is>
      </c>
      <c r="D8" s="99" t="inlineStr">
        <is>
          <t>—</t>
        </is>
      </c>
      <c r="E8" s="100" t="n">
        <v>3</v>
      </c>
      <c r="F8" s="101" t="n">
        <v>11000.4</v>
      </c>
      <c r="G8" s="101">
        <f>E8*F8</f>
        <v/>
      </c>
      <c r="H8" s="102" t="inlineStr">
        <is>
          <t>Радиатор алюм. Royal Thermo MONOBLOCK A 500×80, 12 секц.</t>
        </is>
      </c>
      <c r="I8" s="103" t="inlineStr">
        <is>
          <t>542453</t>
        </is>
      </c>
      <c r="J8" s="104" t="n">
        <v>3</v>
      </c>
      <c r="K8" s="105" t="n">
        <v>12400</v>
      </c>
      <c r="L8" s="105">
        <f>J8*K8</f>
        <v/>
      </c>
      <c r="M8" s="106">
        <f>IF(F8=0,"",K8/F8-1)</f>
        <v/>
      </c>
      <c r="N8" s="68">
        <f>IF(ABS(K8-F8)&lt;0.005,"равно",IF(K8&gt;F8,"МС дороже","КЛ дороже"))</f>
        <v/>
      </c>
      <c r="O8" s="107">
        <f>L8-G8</f>
        <v/>
      </c>
      <c r="P8" s="108" t="inlineStr">
        <is>
          <t>Аналог</t>
        </is>
      </c>
      <c r="Q8" s="109">
        <f>J8-E8</f>
        <v/>
      </c>
      <c r="R8" s="65" t="inlineStr">
        <is>
          <t>Другая серия: Revolution vs MONOBLOCK A</t>
        </is>
      </c>
    </row>
    <row r="9" ht="36" customHeight="1">
      <c r="A9" s="82" t="n">
        <v>4</v>
      </c>
      <c r="B9" s="110" t="inlineStr">
        <is>
          <t>Обвязка радиаторов</t>
        </is>
      </c>
      <c r="C9" s="111" t="inlineStr">
        <is>
          <t>Комплект для радиаторов СТМ 1/2″ с 3 кронштейнами</t>
        </is>
      </c>
      <c r="D9" s="112" t="inlineStr">
        <is>
          <t>—</t>
        </is>
      </c>
      <c r="E9" s="113" t="n">
        <v>15</v>
      </c>
      <c r="F9" s="114" t="n">
        <v>265.6</v>
      </c>
      <c r="G9" s="114">
        <f>E9*F9</f>
        <v/>
      </c>
      <c r="H9" s="115" t="inlineStr">
        <is>
          <t>Комплект для радиатора 1/2″ (с 3 кронштейнами) ТМ</t>
        </is>
      </c>
      <c r="I9" s="116" t="inlineStr">
        <is>
          <t>—</t>
        </is>
      </c>
      <c r="J9" s="117" t="n">
        <v>15</v>
      </c>
      <c r="K9" s="118" t="n">
        <v>432</v>
      </c>
      <c r="L9" s="118">
        <f>J9*K9</f>
        <v/>
      </c>
      <c r="M9" s="119">
        <f>IF(F9=0,"",K9/F9-1)</f>
        <v/>
      </c>
      <c r="N9" s="82">
        <f>IF(ABS(K9-F9)&lt;0.005,"равно",IF(K9&gt;F9,"МС дороже","КЛ дороже"))</f>
        <v/>
      </c>
      <c r="O9" s="120">
        <f>L9-G9</f>
        <v/>
      </c>
      <c r="P9" s="121" t="inlineStr">
        <is>
          <t>Аналог</t>
        </is>
      </c>
      <c r="Q9" s="122">
        <f>J9-E9</f>
        <v/>
      </c>
      <c r="R9" s="79" t="inlineStr">
        <is>
          <t>СТМ vs ТМ</t>
        </is>
      </c>
    </row>
    <row r="10" ht="36" customHeight="1">
      <c r="A10" s="68" t="n">
        <v>5</v>
      </c>
      <c r="B10" s="97" t="inlineStr">
        <is>
          <t>Обвязка радиаторов</t>
        </is>
      </c>
      <c r="C10" s="98" t="inlineStr">
        <is>
          <t>Клапан настроечный угловой 1/2″ с доп. уплотнением</t>
        </is>
      </c>
      <c r="D10" s="99" t="inlineStr">
        <is>
          <t>VT.019.NR.04</t>
        </is>
      </c>
      <c r="E10" s="100" t="n">
        <v>15</v>
      </c>
      <c r="F10" s="101" t="n">
        <v>481.26</v>
      </c>
      <c r="G10" s="101">
        <f>E10*F10</f>
        <v/>
      </c>
      <c r="H10" s="102" t="inlineStr">
        <is>
          <t>Клапан настроечный VALTEC угловой 1/2″ с доп. уплотнением</t>
        </is>
      </c>
      <c r="I10" s="103" t="inlineStr">
        <is>
          <t>VT.019.NR.04</t>
        </is>
      </c>
      <c r="J10" s="104" t="n">
        <v>15</v>
      </c>
      <c r="K10" s="105" t="n">
        <v>617</v>
      </c>
      <c r="L10" s="105">
        <f>J10*K10</f>
        <v/>
      </c>
      <c r="M10" s="106">
        <f>IF(F10=0,"",K10/F10-1)</f>
        <v/>
      </c>
      <c r="N10" s="68">
        <f>IF(ABS(K10-F10)&lt;0.005,"равно",IF(K10&gt;F10,"МС дороже","КЛ дороже"))</f>
        <v/>
      </c>
      <c r="O10" s="107">
        <f>L10-G10</f>
        <v/>
      </c>
      <c r="P10" s="108" t="inlineStr">
        <is>
          <t>Одинаковый артикул</t>
        </is>
      </c>
      <c r="Q10" s="109">
        <f>J10-E10</f>
        <v/>
      </c>
      <c r="R10" s="65" t="inlineStr"/>
    </row>
    <row r="11" ht="36" customHeight="1">
      <c r="A11" s="82" t="n">
        <v>6</v>
      </c>
      <c r="B11" s="110" t="inlineStr">
        <is>
          <t>Обвязка радиаторов</t>
        </is>
      </c>
      <c r="C11" s="111" t="inlineStr">
        <is>
          <t>Клапан ручной угловой 1/2″ VALTEC компактный</t>
        </is>
      </c>
      <c r="D11" s="112" t="inlineStr">
        <is>
          <t>VT.007.LN.04</t>
        </is>
      </c>
      <c r="E11" s="113" t="n">
        <v>15</v>
      </c>
      <c r="F11" s="114" t="n">
        <v>530.4</v>
      </c>
      <c r="G11" s="114">
        <f>E11*F11</f>
        <v/>
      </c>
      <c r="H11" s="115" t="inlineStr">
        <is>
          <t>Вентиль ручной ZEGOR угловой 1/2″ компактный</t>
        </is>
      </c>
      <c r="I11" s="116" t="inlineStr">
        <is>
          <t>QS-3461</t>
        </is>
      </c>
      <c r="J11" s="117" t="n">
        <v>15</v>
      </c>
      <c r="K11" s="118" t="n">
        <v>476</v>
      </c>
      <c r="L11" s="118">
        <f>J11*K11</f>
        <v/>
      </c>
      <c r="M11" s="119">
        <f>IF(F11=0,"",K11/F11-1)</f>
        <v/>
      </c>
      <c r="N11" s="82">
        <f>IF(ABS(K11-F11)&lt;0.005,"равно",IF(K11&gt;F11,"МС дороже","КЛ дороже"))</f>
        <v/>
      </c>
      <c r="O11" s="120">
        <f>L11-G11</f>
        <v/>
      </c>
      <c r="P11" s="121" t="inlineStr">
        <is>
          <t>Аналог</t>
        </is>
      </c>
      <c r="Q11" s="122">
        <f>J11-E11</f>
        <v/>
      </c>
      <c r="R11" s="79" t="inlineStr">
        <is>
          <t>VALTEC vs ZEGOR. Здесь дешевле МС</t>
        </is>
      </c>
    </row>
    <row r="12" ht="36" customHeight="1">
      <c r="A12" s="68" t="n">
        <v>7</v>
      </c>
      <c r="B12" s="97" t="inlineStr">
        <is>
          <t>Пресс-фитинги VALTEC</t>
        </is>
      </c>
      <c r="C12" s="98" t="inlineStr">
        <is>
          <t>Пресс соединение нар. рез. 16×1/2″</t>
        </is>
      </c>
      <c r="D12" s="99" t="inlineStr">
        <is>
          <t>VTm.201.N.001604</t>
        </is>
      </c>
      <c r="E12" s="100" t="n">
        <v>30</v>
      </c>
      <c r="F12" s="101" t="n">
        <v>180.18</v>
      </c>
      <c r="G12" s="101">
        <f>E12*F12</f>
        <v/>
      </c>
      <c r="H12" s="102" t="inlineStr">
        <is>
          <t>Соединитель пресс нар. рез. 16×1/2″ VALTEC</t>
        </is>
      </c>
      <c r="I12" s="103" t="inlineStr">
        <is>
          <t>VTm.201.N.001604</t>
        </is>
      </c>
      <c r="J12" s="104" t="n">
        <v>30</v>
      </c>
      <c r="K12" s="105" t="n">
        <v>231</v>
      </c>
      <c r="L12" s="105">
        <f>J12*K12</f>
        <v/>
      </c>
      <c r="M12" s="106">
        <f>IF(F12=0,"",K12/F12-1)</f>
        <v/>
      </c>
      <c r="N12" s="68">
        <f>IF(ABS(K12-F12)&lt;0.005,"равно",IF(K12&gt;F12,"МС дороже","КЛ дороже"))</f>
        <v/>
      </c>
      <c r="O12" s="107">
        <f>L12-G12</f>
        <v/>
      </c>
      <c r="P12" s="108" t="inlineStr">
        <is>
          <t>Одинаковый артикул</t>
        </is>
      </c>
      <c r="Q12" s="109">
        <f>J12-E12</f>
        <v/>
      </c>
      <c r="R12" s="65" t="inlineStr"/>
    </row>
    <row r="13" ht="36" customHeight="1">
      <c r="A13" s="82" t="n">
        <v>8</v>
      </c>
      <c r="B13" s="110" t="inlineStr">
        <is>
          <t>Пресс-фитинги VALTEC</t>
        </is>
      </c>
      <c r="C13" s="111" t="inlineStr">
        <is>
          <t>Пресс соединение нар. рез. 26×1″</t>
        </is>
      </c>
      <c r="D13" s="112" t="inlineStr">
        <is>
          <t>VTm.201.N.002606</t>
        </is>
      </c>
      <c r="E13" s="113" t="n">
        <v>10</v>
      </c>
      <c r="F13" s="114" t="n">
        <v>470.34</v>
      </c>
      <c r="G13" s="114">
        <f>E13*F13</f>
        <v/>
      </c>
      <c r="H13" s="115" t="inlineStr">
        <is>
          <t>Соединитель пресс нар. рез. 26×1″ VALTEC</t>
        </is>
      </c>
      <c r="I13" s="116" t="inlineStr">
        <is>
          <t>VTm.201.N.002606</t>
        </is>
      </c>
      <c r="J13" s="117" t="n">
        <v>8</v>
      </c>
      <c r="K13" s="118" t="n">
        <v>603</v>
      </c>
      <c r="L13" s="118">
        <f>J13*K13</f>
        <v/>
      </c>
      <c r="M13" s="119">
        <f>IF(F13=0,"",K13/F13-1)</f>
        <v/>
      </c>
      <c r="N13" s="82">
        <f>IF(ABS(K13-F13)&lt;0.005,"равно",IF(K13&gt;F13,"МС дороже","КЛ дороже"))</f>
        <v/>
      </c>
      <c r="O13" s="120">
        <f>L13-G13</f>
        <v/>
      </c>
      <c r="P13" s="121" t="inlineStr">
        <is>
          <t>Одинаковый артикул</t>
        </is>
      </c>
      <c r="Q13" s="122">
        <f>J13-E13</f>
        <v/>
      </c>
      <c r="R13" s="79" t="inlineStr">
        <is>
          <t>В МС не хватает 2 шт</t>
        </is>
      </c>
    </row>
    <row r="14" ht="36" customHeight="1">
      <c r="A14" s="68" t="n">
        <v>9</v>
      </c>
      <c r="B14" s="97" t="inlineStr">
        <is>
          <t>Пресс-фитинги VALTEC</t>
        </is>
      </c>
      <c r="C14" s="98" t="inlineStr">
        <is>
          <t>Пресс соединение вн. рез. 26×1″</t>
        </is>
      </c>
      <c r="D14" s="99" t="inlineStr">
        <is>
          <t>VTm.202.N.002606</t>
        </is>
      </c>
      <c r="E14" s="100" t="n">
        <v>4</v>
      </c>
      <c r="F14" s="101" t="n">
        <v>427.44</v>
      </c>
      <c r="G14" s="101">
        <f>E14*F14</f>
        <v/>
      </c>
      <c r="H14" s="102" t="inlineStr">
        <is>
          <t>Соединитель пресс вн. рез. 26×1″ VALTEC</t>
        </is>
      </c>
      <c r="I14" s="103" t="inlineStr">
        <is>
          <t>VTm.202.N.002606</t>
        </is>
      </c>
      <c r="J14" s="104" t="n">
        <v>4</v>
      </c>
      <c r="K14" s="105" t="n">
        <v>548</v>
      </c>
      <c r="L14" s="105">
        <f>J14*K14</f>
        <v/>
      </c>
      <c r="M14" s="106">
        <f>IF(F14=0,"",K14/F14-1)</f>
        <v/>
      </c>
      <c r="N14" s="68">
        <f>IF(ABS(K14-F14)&lt;0.005,"равно",IF(K14&gt;F14,"МС дороже","КЛ дороже"))</f>
        <v/>
      </c>
      <c r="O14" s="107">
        <f>L14-G14</f>
        <v/>
      </c>
      <c r="P14" s="108" t="inlineStr">
        <is>
          <t>Одинаковый артикул</t>
        </is>
      </c>
      <c r="Q14" s="109">
        <f>J14-E14</f>
        <v/>
      </c>
      <c r="R14" s="65" t="inlineStr"/>
    </row>
    <row r="15" ht="36" customHeight="1">
      <c r="A15" s="82" t="n">
        <v>10</v>
      </c>
      <c r="B15" s="110" t="inlineStr">
        <is>
          <t>Пресс-фитинги VALTEC</t>
        </is>
      </c>
      <c r="C15" s="111" t="inlineStr">
        <is>
          <t>Пресс соединение нар. рез. 26×3/4″</t>
        </is>
      </c>
      <c r="D15" s="112" t="inlineStr">
        <is>
          <t>VTm.201.N.002605</t>
        </is>
      </c>
      <c r="E15" s="113" t="n">
        <v>6</v>
      </c>
      <c r="F15" s="114" t="n">
        <v>443.82</v>
      </c>
      <c r="G15" s="114">
        <f>E15*F15</f>
        <v/>
      </c>
      <c r="H15" s="115" t="inlineStr">
        <is>
          <t>Соединитель пресс нар. рез. 26×3/4″ VALTEC</t>
        </is>
      </c>
      <c r="I15" s="116" t="inlineStr">
        <is>
          <t>VTm.201.N.002605</t>
        </is>
      </c>
      <c r="J15" s="117" t="n">
        <v>5</v>
      </c>
      <c r="K15" s="118" t="n">
        <v>569</v>
      </c>
      <c r="L15" s="118">
        <f>J15*K15</f>
        <v/>
      </c>
      <c r="M15" s="119">
        <f>IF(F15=0,"",K15/F15-1)</f>
        <v/>
      </c>
      <c r="N15" s="82">
        <f>IF(ABS(K15-F15)&lt;0.005,"равно",IF(K15&gt;F15,"МС дороже","КЛ дороже"))</f>
        <v/>
      </c>
      <c r="O15" s="120">
        <f>L15-G15</f>
        <v/>
      </c>
      <c r="P15" s="121" t="inlineStr">
        <is>
          <t>Одинаковый артикул</t>
        </is>
      </c>
      <c r="Q15" s="122">
        <f>J15-E15</f>
        <v/>
      </c>
      <c r="R15" s="79" t="inlineStr">
        <is>
          <t>В МС не хватает 1 шт</t>
        </is>
      </c>
    </row>
    <row r="16" ht="36" customHeight="1">
      <c r="A16" s="68" t="n">
        <v>11</v>
      </c>
      <c r="B16" s="97" t="inlineStr">
        <is>
          <t>Пресс-фитинги VALTEC</t>
        </is>
      </c>
      <c r="C16" s="98" t="inlineStr">
        <is>
          <t>Пресс соединение нар. рез. 20×3/4″</t>
        </is>
      </c>
      <c r="D16" s="99" t="inlineStr">
        <is>
          <t>VTm.201.N.002005</t>
        </is>
      </c>
      <c r="E16" s="100" t="n">
        <v>4</v>
      </c>
      <c r="F16" s="101" t="n">
        <v>265.98</v>
      </c>
      <c r="G16" s="101">
        <f>E16*F16</f>
        <v/>
      </c>
      <c r="H16" s="102" t="inlineStr">
        <is>
          <t>Соединитель пресс нар. рез. 20×3/4″ VALTEC</t>
        </is>
      </c>
      <c r="I16" s="103" t="inlineStr">
        <is>
          <t>VTm.201.N.002005</t>
        </is>
      </c>
      <c r="J16" s="104" t="n">
        <v>4</v>
      </c>
      <c r="K16" s="105" t="n">
        <v>341</v>
      </c>
      <c r="L16" s="105">
        <f>J16*K16</f>
        <v/>
      </c>
      <c r="M16" s="106">
        <f>IF(F16=0,"",K16/F16-1)</f>
        <v/>
      </c>
      <c r="N16" s="68">
        <f>IF(ABS(K16-F16)&lt;0.005,"равно",IF(K16&gt;F16,"МС дороже","КЛ дороже"))</f>
        <v/>
      </c>
      <c r="O16" s="107">
        <f>L16-G16</f>
        <v/>
      </c>
      <c r="P16" s="108" t="inlineStr">
        <is>
          <t>Одинаковый артикул</t>
        </is>
      </c>
      <c r="Q16" s="109">
        <f>J16-E16</f>
        <v/>
      </c>
      <c r="R16" s="65" t="inlineStr"/>
    </row>
    <row r="17" ht="36" customHeight="1">
      <c r="A17" s="82" t="n">
        <v>12</v>
      </c>
      <c r="B17" s="110" t="inlineStr">
        <is>
          <t>Пресс-фитинги VALTEC</t>
        </is>
      </c>
      <c r="C17" s="111" t="inlineStr">
        <is>
          <t>Пресс уголок 26×26</t>
        </is>
      </c>
      <c r="D17" s="112" t="inlineStr">
        <is>
          <t>VTm.251.N.002626</t>
        </is>
      </c>
      <c r="E17" s="113" t="n">
        <v>17</v>
      </c>
      <c r="F17" s="114" t="n">
        <v>599.04</v>
      </c>
      <c r="G17" s="114">
        <f>E17*F17</f>
        <v/>
      </c>
      <c r="H17" s="115" t="inlineStr">
        <is>
          <t>Угольник пресс 26 VALTEC</t>
        </is>
      </c>
      <c r="I17" s="116" t="inlineStr">
        <is>
          <t>VTm.251.N.002626</t>
        </is>
      </c>
      <c r="J17" s="117" t="n">
        <v>17</v>
      </c>
      <c r="K17" s="118" t="n">
        <v>768</v>
      </c>
      <c r="L17" s="118">
        <f>J17*K17</f>
        <v/>
      </c>
      <c r="M17" s="119">
        <f>IF(F17=0,"",K17/F17-1)</f>
        <v/>
      </c>
      <c r="N17" s="82">
        <f>IF(ABS(K17-F17)&lt;0.005,"равно",IF(K17&gt;F17,"МС дороже","КЛ дороже"))</f>
        <v/>
      </c>
      <c r="O17" s="120">
        <f>L17-G17</f>
        <v/>
      </c>
      <c r="P17" s="121" t="inlineStr">
        <is>
          <t>Одинаковый артикул</t>
        </is>
      </c>
      <c r="Q17" s="122">
        <f>J17-E17</f>
        <v/>
      </c>
      <c r="R17" s="79" t="inlineStr"/>
    </row>
    <row r="18" ht="36" customHeight="1">
      <c r="A18" s="68" t="n">
        <v>13</v>
      </c>
      <c r="B18" s="97" t="inlineStr">
        <is>
          <t>Пресс-фитинги VALTEC</t>
        </is>
      </c>
      <c r="C18" s="98" t="inlineStr">
        <is>
          <t>Пресс уголок 20×20</t>
        </is>
      </c>
      <c r="D18" s="99" t="inlineStr">
        <is>
          <t>VTm.251.N.002020</t>
        </is>
      </c>
      <c r="E18" s="100" t="n">
        <v>6</v>
      </c>
      <c r="F18" s="101" t="n">
        <v>378.3</v>
      </c>
      <c r="G18" s="101">
        <f>E18*F18</f>
        <v/>
      </c>
      <c r="H18" s="102" t="inlineStr">
        <is>
          <t>Угольник пресс 20 VALTEC</t>
        </is>
      </c>
      <c r="I18" s="103" t="inlineStr">
        <is>
          <t>VTm.251.N.002020</t>
        </is>
      </c>
      <c r="J18" s="104" t="n">
        <v>6</v>
      </c>
      <c r="K18" s="105" t="n">
        <v>485</v>
      </c>
      <c r="L18" s="105">
        <f>J18*K18</f>
        <v/>
      </c>
      <c r="M18" s="106">
        <f>IF(F18=0,"",K18/F18-1)</f>
        <v/>
      </c>
      <c r="N18" s="68">
        <f>IF(ABS(K18-F18)&lt;0.005,"равно",IF(K18&gt;F18,"МС дороже","КЛ дороже"))</f>
        <v/>
      </c>
      <c r="O18" s="107">
        <f>L18-G18</f>
        <v/>
      </c>
      <c r="P18" s="108" t="inlineStr">
        <is>
          <t>Одинаковый артикул</t>
        </is>
      </c>
      <c r="Q18" s="109">
        <f>J18-E18</f>
        <v/>
      </c>
      <c r="R18" s="65" t="inlineStr"/>
    </row>
    <row r="19" ht="36" customHeight="1">
      <c r="A19" s="82" t="n">
        <v>14</v>
      </c>
      <c r="B19" s="110" t="inlineStr">
        <is>
          <t>Пресс-фитинги VALTEC</t>
        </is>
      </c>
      <c r="C19" s="111" t="inlineStr">
        <is>
          <t>Пресс тройник 26×20×26</t>
        </is>
      </c>
      <c r="D19" s="112" t="inlineStr">
        <is>
          <t>VTm.231.N.262026</t>
        </is>
      </c>
      <c r="E19" s="113" t="n">
        <v>2</v>
      </c>
      <c r="F19" s="114" t="n">
        <v>802.62</v>
      </c>
      <c r="G19" s="114">
        <f>E19*F19</f>
        <v/>
      </c>
      <c r="H19" s="115" t="inlineStr">
        <is>
          <t>Тройник пресс 26×20×26 VALTEC</t>
        </is>
      </c>
      <c r="I19" s="116" t="inlineStr">
        <is>
          <t>VTm.231.N.262026</t>
        </is>
      </c>
      <c r="J19" s="117" t="n">
        <v>2</v>
      </c>
      <c r="K19" s="118" t="n">
        <v>1029</v>
      </c>
      <c r="L19" s="118">
        <f>J19*K19</f>
        <v/>
      </c>
      <c r="M19" s="119">
        <f>IF(F19=0,"",K19/F19-1)</f>
        <v/>
      </c>
      <c r="N19" s="82">
        <f>IF(ABS(K19-F19)&lt;0.005,"равно",IF(K19&gt;F19,"МС дороже","КЛ дороже"))</f>
        <v/>
      </c>
      <c r="O19" s="120">
        <f>L19-G19</f>
        <v/>
      </c>
      <c r="P19" s="121" t="inlineStr">
        <is>
          <t>Одинаковый артикул</t>
        </is>
      </c>
      <c r="Q19" s="122">
        <f>J19-E19</f>
        <v/>
      </c>
      <c r="R19" s="79" t="inlineStr"/>
    </row>
    <row r="20" ht="36" customHeight="1">
      <c r="A20" s="68" t="n">
        <v>15</v>
      </c>
      <c r="B20" s="97" t="inlineStr">
        <is>
          <t>Пресс-фитинги VALTEC</t>
        </is>
      </c>
      <c r="C20" s="98" t="inlineStr">
        <is>
          <t>Пресс тройник 20×16×20</t>
        </is>
      </c>
      <c r="D20" s="99" t="inlineStr">
        <is>
          <t>VTm.231.N.201620</t>
        </is>
      </c>
      <c r="E20" s="100" t="n">
        <v>4</v>
      </c>
      <c r="F20" s="101" t="n">
        <v>526.5</v>
      </c>
      <c r="G20" s="101">
        <f>E20*F20</f>
        <v/>
      </c>
      <c r="H20" s="102" t="inlineStr">
        <is>
          <t>Тройник пресс 20×16×20 VALTEC</t>
        </is>
      </c>
      <c r="I20" s="103" t="inlineStr">
        <is>
          <t>VTm.231.N.201620</t>
        </is>
      </c>
      <c r="J20" s="104" t="n">
        <v>4</v>
      </c>
      <c r="K20" s="105" t="n">
        <v>675</v>
      </c>
      <c r="L20" s="105">
        <f>J20*K20</f>
        <v/>
      </c>
      <c r="M20" s="106">
        <f>IF(F20=0,"",K20/F20-1)</f>
        <v/>
      </c>
      <c r="N20" s="68">
        <f>IF(ABS(K20-F20)&lt;0.005,"равно",IF(K20&gt;F20,"МС дороже","КЛ дороже"))</f>
        <v/>
      </c>
      <c r="O20" s="107">
        <f>L20-G20</f>
        <v/>
      </c>
      <c r="P20" s="108" t="inlineStr">
        <is>
          <t>Одинаковый артикул</t>
        </is>
      </c>
      <c r="Q20" s="109">
        <f>J20-E20</f>
        <v/>
      </c>
      <c r="R20" s="65" t="inlineStr"/>
    </row>
    <row r="21" ht="36" customHeight="1">
      <c r="A21" s="82" t="n">
        <v>16</v>
      </c>
      <c r="B21" s="110" t="inlineStr">
        <is>
          <t>Пресс-фитинги VALTEC</t>
        </is>
      </c>
      <c r="C21" s="111" t="inlineStr">
        <is>
          <t>Пресс тройник 26×26×26</t>
        </is>
      </c>
      <c r="D21" s="112" t="inlineStr">
        <is>
          <t>VTm.231.N.262626</t>
        </is>
      </c>
      <c r="E21" s="113" t="n">
        <v>1</v>
      </c>
      <c r="F21" s="114" t="n">
        <v>850.98</v>
      </c>
      <c r="G21" s="114">
        <f>E21*F21</f>
        <v/>
      </c>
      <c r="H21" s="115" t="inlineStr">
        <is>
          <t>Тройник пресс 26 VALTEC</t>
        </is>
      </c>
      <c r="I21" s="116" t="inlineStr">
        <is>
          <t>VTm.231.N.262626</t>
        </is>
      </c>
      <c r="J21" s="117" t="n">
        <v>1</v>
      </c>
      <c r="K21" s="118" t="n">
        <v>1091</v>
      </c>
      <c r="L21" s="118">
        <f>J21*K21</f>
        <v/>
      </c>
      <c r="M21" s="119">
        <f>IF(F21=0,"",K21/F21-1)</f>
        <v/>
      </c>
      <c r="N21" s="82">
        <f>IF(ABS(K21-F21)&lt;0.005,"равно",IF(K21&gt;F21,"МС дороже","КЛ дороже"))</f>
        <v/>
      </c>
      <c r="O21" s="120">
        <f>L21-G21</f>
        <v/>
      </c>
      <c r="P21" s="121" t="inlineStr">
        <is>
          <t>Одинаковый артикул</t>
        </is>
      </c>
      <c r="Q21" s="122">
        <f>J21-E21</f>
        <v/>
      </c>
      <c r="R21" s="79" t="inlineStr"/>
    </row>
    <row r="22" ht="36" customHeight="1">
      <c r="A22" s="68" t="n">
        <v>17</v>
      </c>
      <c r="B22" s="97" t="inlineStr">
        <is>
          <t>Трубы и изоляция</t>
        </is>
      </c>
      <c r="C22" s="98" t="inlineStr">
        <is>
          <t>Труба металлопластик Valtec 26×3 мм</t>
        </is>
      </c>
      <c r="D22" s="99" t="inlineStr">
        <is>
          <t>V2630</t>
        </is>
      </c>
      <c r="E22" s="100" t="n">
        <v>50</v>
      </c>
      <c r="F22" s="101" t="n">
        <v>242.58</v>
      </c>
      <c r="G22" s="101">
        <f>E22*F22</f>
        <v/>
      </c>
      <c r="H22" s="102" t="inlineStr">
        <is>
          <t>Труба металлопластик 26 VALTEC (50 м)</t>
        </is>
      </c>
      <c r="I22" s="103" t="inlineStr">
        <is>
          <t>V2630.050</t>
        </is>
      </c>
      <c r="J22" s="104" t="n">
        <v>50</v>
      </c>
      <c r="K22" s="105" t="n">
        <v>311</v>
      </c>
      <c r="L22" s="105">
        <f>J22*K22</f>
        <v/>
      </c>
      <c r="M22" s="106">
        <f>IF(F22=0,"",K22/F22-1)</f>
        <v/>
      </c>
      <c r="N22" s="68">
        <f>IF(ABS(K22-F22)&lt;0.005,"равно",IF(K22&gt;F22,"МС дороже","КЛ дороже"))</f>
        <v/>
      </c>
      <c r="O22" s="107">
        <f>L22-G22</f>
        <v/>
      </c>
      <c r="P22" s="108" t="inlineStr">
        <is>
          <t>Одинаковый товар</t>
        </is>
      </c>
      <c r="Q22" s="109">
        <f>J22-E22</f>
        <v/>
      </c>
      <c r="R22" s="65" t="inlineStr"/>
    </row>
    <row r="23" ht="36" customHeight="1">
      <c r="A23" s="82" t="n">
        <v>18</v>
      </c>
      <c r="B23" s="110" t="inlineStr">
        <is>
          <t>Трубы и изоляция</t>
        </is>
      </c>
      <c r="C23" s="111" t="inlineStr">
        <is>
          <t>Труба металлопластик Valtec 20×2 мм</t>
        </is>
      </c>
      <c r="D23" s="112" t="inlineStr">
        <is>
          <t>V2020</t>
        </is>
      </c>
      <c r="E23" s="113" t="n">
        <v>100</v>
      </c>
      <c r="F23" s="114" t="n">
        <v>133.38</v>
      </c>
      <c r="G23" s="114">
        <f>E23*F23</f>
        <v/>
      </c>
      <c r="H23" s="115" t="inlineStr">
        <is>
          <t>Труба металлопластик 20 VALTEC (100 м)</t>
        </is>
      </c>
      <c r="I23" s="116" t="inlineStr">
        <is>
          <t>V2020.100</t>
        </is>
      </c>
      <c r="J23" s="117" t="n">
        <v>100</v>
      </c>
      <c r="K23" s="118" t="n">
        <v>171</v>
      </c>
      <c r="L23" s="118">
        <f>J23*K23</f>
        <v/>
      </c>
      <c r="M23" s="119">
        <f>IF(F23=0,"",K23/F23-1)</f>
        <v/>
      </c>
      <c r="N23" s="82">
        <f>IF(ABS(K23-F23)&lt;0.005,"равно",IF(K23&gt;F23,"МС дороже","КЛ дороже"))</f>
        <v/>
      </c>
      <c r="O23" s="120">
        <f>L23-G23</f>
        <v/>
      </c>
      <c r="P23" s="121" t="inlineStr">
        <is>
          <t>Одинаковый товар</t>
        </is>
      </c>
      <c r="Q23" s="122">
        <f>J23-E23</f>
        <v/>
      </c>
      <c r="R23" s="79" t="inlineStr"/>
    </row>
    <row r="24" ht="36" customHeight="1">
      <c r="A24" s="68" t="n">
        <v>19</v>
      </c>
      <c r="B24" s="97" t="inlineStr">
        <is>
          <t>Трубы и изоляция</t>
        </is>
      </c>
      <c r="C24" s="98" t="inlineStr">
        <is>
          <t>Труба металлопластик Valtec 16×2 мм</t>
        </is>
      </c>
      <c r="D24" s="99" t="inlineStr">
        <is>
          <t>V1620.200</t>
        </is>
      </c>
      <c r="E24" s="100" t="n">
        <v>1400</v>
      </c>
      <c r="F24" s="101" t="n">
        <v>100.62</v>
      </c>
      <c r="G24" s="101">
        <f>E24*F24</f>
        <v/>
      </c>
      <c r="H24" s="102" t="inlineStr">
        <is>
          <t>Труба металлопластик 16 VALTEC (200 м)</t>
        </is>
      </c>
      <c r="I24" s="103" t="inlineStr">
        <is>
          <t>V1620.200</t>
        </is>
      </c>
      <c r="J24" s="104" t="n">
        <v>1400</v>
      </c>
      <c r="K24" s="105" t="n">
        <v>129</v>
      </c>
      <c r="L24" s="105">
        <f>J24*K24</f>
        <v/>
      </c>
      <c r="M24" s="106">
        <f>IF(F24=0,"",K24/F24-1)</f>
        <v/>
      </c>
      <c r="N24" s="68">
        <f>IF(ABS(K24-F24)&lt;0.005,"равно",IF(K24&gt;F24,"МС дороже","КЛ дороже"))</f>
        <v/>
      </c>
      <c r="O24" s="107">
        <f>L24-G24</f>
        <v/>
      </c>
      <c r="P24" s="108" t="inlineStr">
        <is>
          <t>Одинаковый артикул</t>
        </is>
      </c>
      <c r="Q24" s="109">
        <f>J24-E24</f>
        <v/>
      </c>
      <c r="R24" s="65" t="inlineStr">
        <is>
          <t>Самый большой вклад в разницу счетов</t>
        </is>
      </c>
    </row>
    <row r="25" ht="36" customHeight="1">
      <c r="A25" s="82" t="n">
        <v>20</v>
      </c>
      <c r="B25" s="110" t="inlineStr">
        <is>
          <t>Трубы и изоляция</t>
        </is>
      </c>
      <c r="C25" s="111" t="inlineStr">
        <is>
          <t>Утеплитель цветной 18/4 красный</t>
        </is>
      </c>
      <c r="D25" s="112" t="inlineStr">
        <is>
          <t>VT.SP.R10R.1804</t>
        </is>
      </c>
      <c r="E25" s="113" t="n">
        <v>220</v>
      </c>
      <c r="F25" s="114" t="n">
        <v>19.51</v>
      </c>
      <c r="G25" s="114">
        <f>E25*F25</f>
        <v/>
      </c>
      <c r="H25" s="115" t="inlineStr">
        <is>
          <t>Утеплитель трубный 18×4 VALTEC красный</t>
        </is>
      </c>
      <c r="I25" s="116" t="inlineStr">
        <is>
          <t>VT.SP.R10R.1804</t>
        </is>
      </c>
      <c r="J25" s="117" t="n">
        <v>220</v>
      </c>
      <c r="K25" s="118" t="n">
        <v>23.5</v>
      </c>
      <c r="L25" s="118">
        <f>J25*K25</f>
        <v/>
      </c>
      <c r="M25" s="119">
        <f>IF(F25=0,"",K25/F25-1)</f>
        <v/>
      </c>
      <c r="N25" s="82">
        <f>IF(ABS(K25-F25)&lt;0.005,"равно",IF(K25&gt;F25,"МС дороже","КЛ дороже"))</f>
        <v/>
      </c>
      <c r="O25" s="120">
        <f>L25-G25</f>
        <v/>
      </c>
      <c r="P25" s="121" t="inlineStr">
        <is>
          <t>Одинаковый артикул</t>
        </is>
      </c>
      <c r="Q25" s="122">
        <f>J25-E25</f>
        <v/>
      </c>
      <c r="R25" s="79" t="inlineStr"/>
    </row>
    <row r="26" ht="36" customHeight="1">
      <c r="A26" s="68" t="n">
        <v>21</v>
      </c>
      <c r="B26" s="97" t="inlineStr">
        <is>
          <t>Трубы и изоляция</t>
        </is>
      </c>
      <c r="C26" s="98" t="inlineStr">
        <is>
          <t>Утеплитель цветной 18/4 синий</t>
        </is>
      </c>
      <c r="D26" s="99" t="inlineStr">
        <is>
          <t>VT.SP.R10B.1804</t>
        </is>
      </c>
      <c r="E26" s="100" t="n">
        <v>220</v>
      </c>
      <c r="F26" s="101" t="n">
        <v>19.51</v>
      </c>
      <c r="G26" s="101">
        <f>E26*F26</f>
        <v/>
      </c>
      <c r="H26" s="102" t="inlineStr">
        <is>
          <t>Утеплитель трубный 18×4 VALTEC синий</t>
        </is>
      </c>
      <c r="I26" s="103" t="inlineStr">
        <is>
          <t>VT.SP.R10B.1804</t>
        </is>
      </c>
      <c r="J26" s="104" t="n">
        <v>220</v>
      </c>
      <c r="K26" s="105" t="n">
        <v>23.5</v>
      </c>
      <c r="L26" s="105">
        <f>J26*K26</f>
        <v/>
      </c>
      <c r="M26" s="106">
        <f>IF(F26=0,"",K26/F26-1)</f>
        <v/>
      </c>
      <c r="N26" s="68">
        <f>IF(ABS(K26-F26)&lt;0.005,"равно",IF(K26&gt;F26,"МС дороже","КЛ дороже"))</f>
        <v/>
      </c>
      <c r="O26" s="107">
        <f>L26-G26</f>
        <v/>
      </c>
      <c r="P26" s="108" t="inlineStr">
        <is>
          <t>Одинаковый товар</t>
        </is>
      </c>
      <c r="Q26" s="109">
        <f>J26-E26</f>
        <v/>
      </c>
      <c r="R26" s="65" t="inlineStr"/>
    </row>
    <row r="27" ht="36" customHeight="1">
      <c r="A27" s="82" t="n">
        <v>22</v>
      </c>
      <c r="B27" s="110" t="inlineStr">
        <is>
          <t>Трубы и изоляция</t>
        </is>
      </c>
      <c r="C27" s="111" t="inlineStr">
        <is>
          <t>Втулка защитная 16 мм синяя VALTEC</t>
        </is>
      </c>
      <c r="D27" s="112" t="inlineStr">
        <is>
          <t>VT.VZT.16.B0</t>
        </is>
      </c>
      <c r="E27" s="113" t="n">
        <v>26</v>
      </c>
      <c r="F27" s="114" t="n">
        <v>22.62</v>
      </c>
      <c r="G27" s="114">
        <f>E27*F27</f>
        <v/>
      </c>
      <c r="H27" s="115" t="inlineStr">
        <is>
          <t>Втулка защитная 16 мм синяя VALTEC</t>
        </is>
      </c>
      <c r="I27" s="116" t="inlineStr">
        <is>
          <t>VT.VZT.16.B0</t>
        </is>
      </c>
      <c r="J27" s="117" t="n">
        <v>26</v>
      </c>
      <c r="K27" s="118" t="n">
        <v>27</v>
      </c>
      <c r="L27" s="118">
        <f>J27*K27</f>
        <v/>
      </c>
      <c r="M27" s="119">
        <f>IF(F27=0,"",K27/F27-1)</f>
        <v/>
      </c>
      <c r="N27" s="82">
        <f>IF(ABS(K27-F27)&lt;0.005,"равно",IF(K27&gt;F27,"МС дороже","КЛ дороже"))</f>
        <v/>
      </c>
      <c r="O27" s="120">
        <f>L27-G27</f>
        <v/>
      </c>
      <c r="P27" s="121" t="inlineStr">
        <is>
          <t>Одинаковый товар</t>
        </is>
      </c>
      <c r="Q27" s="122">
        <f>J27-E27</f>
        <v/>
      </c>
      <c r="R27" s="79" t="inlineStr"/>
    </row>
    <row r="28" ht="36" customHeight="1">
      <c r="A28" s="68" t="n">
        <v>23</v>
      </c>
      <c r="B28" s="97" t="inlineStr">
        <is>
          <t>Трубы и изоляция</t>
        </is>
      </c>
      <c r="C28" s="98" t="inlineStr">
        <is>
          <t>Втулка защитная 16 мм красная VALTEC</t>
        </is>
      </c>
      <c r="D28" s="99" t="inlineStr">
        <is>
          <t>VT.VZT.16.R0</t>
        </is>
      </c>
      <c r="E28" s="100" t="n">
        <v>26</v>
      </c>
      <c r="F28" s="101" t="n">
        <v>22.62</v>
      </c>
      <c r="G28" s="101">
        <f>E28*F28</f>
        <v/>
      </c>
      <c r="H28" s="102" t="inlineStr">
        <is>
          <t>Втулка защитная 16 мм красная VALTEC</t>
        </is>
      </c>
      <c r="I28" s="103" t="inlineStr">
        <is>
          <t>VT.VZT.16.R0</t>
        </is>
      </c>
      <c r="J28" s="104" t="n">
        <v>26</v>
      </c>
      <c r="K28" s="105" t="n">
        <v>27</v>
      </c>
      <c r="L28" s="105">
        <f>J28*K28</f>
        <v/>
      </c>
      <c r="M28" s="106">
        <f>IF(F28=0,"",K28/F28-1)</f>
        <v/>
      </c>
      <c r="N28" s="68">
        <f>IF(ABS(K28-F28)&lt;0.005,"равно",IF(K28&gt;F28,"МС дороже","КЛ дороже"))</f>
        <v/>
      </c>
      <c r="O28" s="107">
        <f>L28-G28</f>
        <v/>
      </c>
      <c r="P28" s="108" t="inlineStr">
        <is>
          <t>Одинаковый товар</t>
        </is>
      </c>
      <c r="Q28" s="109">
        <f>J28-E28</f>
        <v/>
      </c>
      <c r="R28" s="65" t="inlineStr"/>
    </row>
    <row r="29" ht="36" customHeight="1">
      <c r="A29" s="82" t="n">
        <v>24</v>
      </c>
      <c r="B29" s="110" t="inlineStr">
        <is>
          <t>Коллекторы тёплого пола</t>
        </is>
      </c>
      <c r="C29" s="111" t="inlineStr">
        <is>
          <t>Коллекторная группа ONDO нерж. 5 вых. с расходомерами</t>
        </is>
      </c>
      <c r="D29" s="112" t="inlineStr">
        <is>
          <t>—</t>
        </is>
      </c>
      <c r="E29" s="113" t="n">
        <v>1</v>
      </c>
      <c r="F29" s="114" t="n">
        <v>5976</v>
      </c>
      <c r="G29" s="114">
        <f>E29*F29</f>
        <v/>
      </c>
      <c r="H29" s="115" t="inlineStr">
        <is>
          <t>Коллекторная группа нерж. 1″ 5 вых. ТМ с расходомерами</t>
        </is>
      </c>
      <c r="I29" s="116" t="inlineStr">
        <is>
          <t>TOP1305</t>
        </is>
      </c>
      <c r="J29" s="117" t="n">
        <v>1</v>
      </c>
      <c r="K29" s="118" t="n">
        <v>5784</v>
      </c>
      <c r="L29" s="118">
        <f>J29*K29</f>
        <v/>
      </c>
      <c r="M29" s="119">
        <f>IF(F29=0,"",K29/F29-1)</f>
        <v/>
      </c>
      <c r="N29" s="82">
        <f>IF(ABS(K29-F29)&lt;0.005,"равно",IF(K29&gt;F29,"МС дороже","КЛ дороже"))</f>
        <v/>
      </c>
      <c r="O29" s="120">
        <f>L29-G29</f>
        <v/>
      </c>
      <c r="P29" s="121" t="inlineStr">
        <is>
          <t>Аналог</t>
        </is>
      </c>
      <c r="Q29" s="122">
        <f>J29-E29</f>
        <v/>
      </c>
      <c r="R29" s="79" t="inlineStr">
        <is>
          <t>ONDO vs ТМ. Здесь дешевле МС</t>
        </is>
      </c>
    </row>
    <row r="30" ht="36" customHeight="1">
      <c r="A30" s="68" t="n">
        <v>25</v>
      </c>
      <c r="B30" s="97" t="inlineStr">
        <is>
          <t>Коллекторы тёплого пола</t>
        </is>
      </c>
      <c r="C30" s="98" t="inlineStr">
        <is>
          <t>Коллекторная группа ONDO нерж. 8 вых. с расходомерами</t>
        </is>
      </c>
      <c r="D30" s="99" t="inlineStr">
        <is>
          <t>—</t>
        </is>
      </c>
      <c r="E30" s="100" t="n">
        <v>1</v>
      </c>
      <c r="F30" s="101" t="n">
        <v>7387</v>
      </c>
      <c r="G30" s="101">
        <f>E30*F30</f>
        <v/>
      </c>
      <c r="H30" s="102" t="inlineStr">
        <is>
          <t>Коллекторная группа нерж. 1″ 8 вых. ТМ с расходомерами</t>
        </is>
      </c>
      <c r="I30" s="103" t="inlineStr">
        <is>
          <t>TOP1308</t>
        </is>
      </c>
      <c r="J30" s="104" t="n">
        <v>1</v>
      </c>
      <c r="K30" s="105" t="n">
        <v>9253</v>
      </c>
      <c r="L30" s="105">
        <f>J30*K30</f>
        <v/>
      </c>
      <c r="M30" s="106">
        <f>IF(F30=0,"",K30/F30-1)</f>
        <v/>
      </c>
      <c r="N30" s="68">
        <f>IF(ABS(K30-F30)&lt;0.005,"равно",IF(K30&gt;F30,"МС дороже","КЛ дороже"))</f>
        <v/>
      </c>
      <c r="O30" s="107">
        <f>L30-G30</f>
        <v/>
      </c>
      <c r="P30" s="108" t="inlineStr">
        <is>
          <t>Аналог</t>
        </is>
      </c>
      <c r="Q30" s="109">
        <f>J30-E30</f>
        <v/>
      </c>
      <c r="R30" s="65" t="inlineStr">
        <is>
          <t>ONDO vs ТМ</t>
        </is>
      </c>
    </row>
    <row r="31" ht="36" customHeight="1">
      <c r="A31" s="82" t="n">
        <v>26</v>
      </c>
      <c r="B31" s="110" t="inlineStr">
        <is>
          <t>Коллекторы тёплого пола</t>
        </is>
      </c>
      <c r="C31" s="111" t="inlineStr">
        <is>
          <t>Евроконус для м/п трубы 16 VALTEC</t>
        </is>
      </c>
      <c r="D31" s="112" t="inlineStr">
        <is>
          <t>VT.4420.NVE.16</t>
        </is>
      </c>
      <c r="E31" s="113" t="n">
        <v>26</v>
      </c>
      <c r="F31" s="114" t="n">
        <v>179.4</v>
      </c>
      <c r="G31" s="114">
        <f>E31*F31</f>
        <v/>
      </c>
      <c r="H31" s="115" t="inlineStr">
        <is>
          <t>Евроконус 16×3/4 для коллекторных групп VRT</t>
        </is>
      </c>
      <c r="I31" s="116" t="inlineStr">
        <is>
          <t>524083</t>
        </is>
      </c>
      <c r="J31" s="117" t="n">
        <v>26</v>
      </c>
      <c r="K31" s="118" t="n">
        <v>215</v>
      </c>
      <c r="L31" s="118">
        <f>J31*K31</f>
        <v/>
      </c>
      <c r="M31" s="119">
        <f>IF(F31=0,"",K31/F31-1)</f>
        <v/>
      </c>
      <c r="N31" s="82">
        <f>IF(ABS(K31-F31)&lt;0.005,"равно",IF(K31&gt;F31,"МС дороже","КЛ дороже"))</f>
        <v/>
      </c>
      <c r="O31" s="120">
        <f>L31-G31</f>
        <v/>
      </c>
      <c r="P31" s="121" t="inlineStr">
        <is>
          <t>Аналог</t>
        </is>
      </c>
      <c r="Q31" s="122">
        <f>J31-E31</f>
        <v/>
      </c>
      <c r="R31" s="79" t="inlineStr">
        <is>
          <t>VALTEC vs VRT</t>
        </is>
      </c>
    </row>
    <row r="32" ht="36" customHeight="1">
      <c r="A32" s="68" t="n">
        <v>27</v>
      </c>
      <c r="B32" s="97" t="inlineStr">
        <is>
          <t>Смесители и насосы</t>
        </is>
      </c>
      <c r="C32" s="98" t="inlineStr">
        <is>
          <t>Насосно-смесительный узел VALTEC COMBI без насоса 180 мм</t>
        </is>
      </c>
      <c r="D32" s="99" t="inlineStr">
        <is>
          <t>VT.COMBI.0.180</t>
        </is>
      </c>
      <c r="E32" s="100" t="n">
        <v>2</v>
      </c>
      <c r="F32" s="101" t="n">
        <v>27466.92</v>
      </c>
      <c r="G32" s="101">
        <f>E32*F32</f>
        <v/>
      </c>
      <c r="H32" s="102" t="inlineStr">
        <is>
          <t>Насосно-смесительный узел VALTEC COMBI без насоса 180 мм</t>
        </is>
      </c>
      <c r="I32" s="103" t="inlineStr">
        <is>
          <t>VT.COMBI.0.180</t>
        </is>
      </c>
      <c r="J32" s="104" t="n">
        <v>2</v>
      </c>
      <c r="K32" s="105" t="n">
        <v>36623</v>
      </c>
      <c r="L32" s="105">
        <f>J32*K32</f>
        <v/>
      </c>
      <c r="M32" s="106">
        <f>IF(F32=0,"",K32/F32-1)</f>
        <v/>
      </c>
      <c r="N32" s="68">
        <f>IF(ABS(K32-F32)&lt;0.005,"равно",IF(K32&gt;F32,"МС дороже","КЛ дороже"))</f>
        <v/>
      </c>
      <c r="O32" s="107">
        <f>L32-G32</f>
        <v/>
      </c>
      <c r="P32" s="108" t="inlineStr">
        <is>
          <t>Одинаковый артикул</t>
        </is>
      </c>
      <c r="Q32" s="109">
        <f>J32-E32</f>
        <v/>
      </c>
      <c r="R32" s="65" t="inlineStr">
        <is>
          <t>Второй по вкладу в разницу счетов</t>
        </is>
      </c>
    </row>
    <row r="33" ht="36" customHeight="1">
      <c r="A33" s="82" t="n">
        <v>28</v>
      </c>
      <c r="B33" s="110" t="inlineStr">
        <is>
          <t>Смесители и насосы</t>
        </is>
      </c>
      <c r="C33" s="111" t="inlineStr">
        <is>
          <t>Насос циркуляционный VALTEC RS 25/6-180 с гайками</t>
        </is>
      </c>
      <c r="D33" s="112" t="inlineStr">
        <is>
          <t>VRS.256.18.0</t>
        </is>
      </c>
      <c r="E33" s="113" t="n">
        <v>4</v>
      </c>
      <c r="F33" s="114" t="n">
        <v>3330.6</v>
      </c>
      <c r="G33" s="114">
        <f>E33*F33</f>
        <v/>
      </c>
      <c r="H33" s="115" t="inlineStr">
        <is>
          <t>Насос циркуляционный VALTEC RS 25-60-180 с гайками</t>
        </is>
      </c>
      <c r="I33" s="116" t="inlineStr">
        <is>
          <t>VRS.256.18.0</t>
        </is>
      </c>
      <c r="J33" s="117" t="n">
        <v>4</v>
      </c>
      <c r="K33" s="118" t="n">
        <v>4270</v>
      </c>
      <c r="L33" s="118">
        <f>J33*K33</f>
        <v/>
      </c>
      <c r="M33" s="119">
        <f>IF(F33=0,"",K33/F33-1)</f>
        <v/>
      </c>
      <c r="N33" s="82">
        <f>IF(ABS(K33-F33)&lt;0.005,"равно",IF(K33&gt;F33,"МС дороже","КЛ дороже"))</f>
        <v/>
      </c>
      <c r="O33" s="120">
        <f>L33-G33</f>
        <v/>
      </c>
      <c r="P33" s="121" t="inlineStr">
        <is>
          <t>Одинаковый артикул</t>
        </is>
      </c>
      <c r="Q33" s="122">
        <f>J33-E33</f>
        <v/>
      </c>
      <c r="R33" s="79" t="inlineStr"/>
    </row>
    <row r="34" ht="36" customHeight="1">
      <c r="A34" s="68" t="n">
        <v>29</v>
      </c>
      <c r="B34" s="97" t="inlineStr">
        <is>
          <t>Смесители и насосы</t>
        </is>
      </c>
      <c r="C34" s="98" t="inlineStr">
        <is>
          <t>Гидрострелка Север-М2+1</t>
        </is>
      </c>
      <c r="D34" s="99" t="inlineStr">
        <is>
          <t>—</t>
        </is>
      </c>
      <c r="E34" s="100" t="n">
        <v>1</v>
      </c>
      <c r="F34" s="101" t="n">
        <v>11553.6</v>
      </c>
      <c r="G34" s="101">
        <f>E34*F34</f>
        <v/>
      </c>
      <c r="H34" s="102" t="inlineStr">
        <is>
          <t>Разделитель гидравлический Дельта-У2+1</t>
        </is>
      </c>
      <c r="I34" s="103" t="inlineStr">
        <is>
          <t>1801009</t>
        </is>
      </c>
      <c r="J34" s="104" t="n">
        <v>1</v>
      </c>
      <c r="K34" s="105" t="n">
        <v>11134</v>
      </c>
      <c r="L34" s="105">
        <f>J34*K34</f>
        <v/>
      </c>
      <c r="M34" s="106">
        <f>IF(F34=0,"",K34/F34-1)</f>
        <v/>
      </c>
      <c r="N34" s="68">
        <f>IF(ABS(K34-F34)&lt;0.005,"равно",IF(K34&gt;F34,"МС дороже","КЛ дороже"))</f>
        <v/>
      </c>
      <c r="O34" s="107">
        <f>L34-G34</f>
        <v/>
      </c>
      <c r="P34" s="108" t="inlineStr">
        <is>
          <t>Аналог</t>
        </is>
      </c>
      <c r="Q34" s="109">
        <f>J34-E34</f>
        <v/>
      </c>
      <c r="R34" s="65" t="inlineStr">
        <is>
          <t>Север vs Дельта. Здесь дешевле МС</t>
        </is>
      </c>
    </row>
    <row r="35" ht="36" customHeight="1">
      <c r="A35" s="82" t="n">
        <v>30</v>
      </c>
      <c r="B35" s="110" t="inlineStr">
        <is>
          <t>Смесители и насосы</t>
        </is>
      </c>
      <c r="C35" s="111" t="inlineStr">
        <is>
          <t>Циркуляционный насос ГВС 130 мм VIEIR латунь</t>
        </is>
      </c>
      <c r="D35" s="112" t="inlineStr">
        <is>
          <t>VRT20-6-130</t>
        </is>
      </c>
      <c r="E35" s="113" t="n">
        <v>1</v>
      </c>
      <c r="F35" s="114" t="n">
        <v>4565</v>
      </c>
      <c r="G35" s="114">
        <f>E35*F35</f>
        <v/>
      </c>
      <c r="H35" s="115" t="inlineStr">
        <is>
          <t>Насос циркуляционный Unipump LPA 20-60 B (ГВС, тёплый пол)</t>
        </is>
      </c>
      <c r="I35" s="116" t="inlineStr">
        <is>
          <t>50260</t>
        </is>
      </c>
      <c r="J35" s="117" t="n">
        <v>1</v>
      </c>
      <c r="K35" s="118" t="n">
        <v>11230</v>
      </c>
      <c r="L35" s="118">
        <f>J35*K35</f>
        <v/>
      </c>
      <c r="M35" s="119">
        <f>IF(F35=0,"",K35/F35-1)</f>
        <v/>
      </c>
      <c r="N35" s="82">
        <f>IF(ABS(K35-F35)&lt;0.005,"равно",IF(K35&gt;F35,"МС дороже","КЛ дороже"))</f>
        <v/>
      </c>
      <c r="O35" s="120">
        <f>L35-G35</f>
        <v/>
      </c>
      <c r="P35" s="121" t="inlineStr">
        <is>
          <t>Аналог</t>
        </is>
      </c>
      <c r="Q35" s="122">
        <f>J35-E35</f>
        <v/>
      </c>
      <c r="R35" s="79" t="inlineStr">
        <is>
          <t>Vieir 130 мм vs Unipump LPA. Разная монтажная длина и бренд</t>
        </is>
      </c>
    </row>
    <row r="36" ht="36" customHeight="1">
      <c r="A36" s="68" t="n">
        <v>31</v>
      </c>
      <c r="B36" s="97" t="inlineStr">
        <is>
          <t>Краны и арматура</t>
        </is>
      </c>
      <c r="C36" s="98" t="inlineStr">
        <is>
          <t>Кран шаровый VALTEC BASE 1″ прямой со сгоном, бабочка</t>
        </is>
      </c>
      <c r="D36" s="99" t="inlineStr">
        <is>
          <t>VT.227S.N.06</t>
        </is>
      </c>
      <c r="E36" s="100" t="n">
        <v>4</v>
      </c>
      <c r="F36" s="101" t="n">
        <v>1732.38</v>
      </c>
      <c r="G36" s="101">
        <f>E36*F36</f>
        <v/>
      </c>
      <c r="H36" s="102" t="inlineStr">
        <is>
          <t>Кран шаровый VALTEC BASE 1″ УГЛОВОЙ с полусгоном</t>
        </is>
      </c>
      <c r="I36" s="103" t="inlineStr">
        <is>
          <t>VT.228.N.06</t>
        </is>
      </c>
      <c r="J36" s="104" t="n">
        <v>4</v>
      </c>
      <c r="K36" s="105" t="n">
        <v>2256</v>
      </c>
      <c r="L36" s="105">
        <f>J36*K36</f>
        <v/>
      </c>
      <c r="M36" s="106">
        <f>IF(F36=0,"",K36/F36-1)</f>
        <v/>
      </c>
      <c r="N36" s="68">
        <f>IF(ABS(K36-F36)&lt;0.005,"равно",IF(K36&gt;F36,"МС дороже","КЛ дороже"))</f>
        <v/>
      </c>
      <c r="O36" s="107">
        <f>L36-G36</f>
        <v/>
      </c>
      <c r="P36" s="108" t="inlineStr">
        <is>
          <t>Не эквивалент</t>
        </is>
      </c>
      <c r="Q36" s="109">
        <f>J36-E36</f>
        <v/>
      </c>
      <c r="R36" s="65" t="inlineStr">
        <is>
          <t>КРИТИЧНО: прямой кран vs угловой</t>
        </is>
      </c>
    </row>
    <row r="37" ht="36" customHeight="1">
      <c r="A37" s="82" t="n">
        <v>32</v>
      </c>
      <c r="B37" s="110" t="inlineStr">
        <is>
          <t>Краны и арматура</t>
        </is>
      </c>
      <c r="C37" s="111" t="inlineStr">
        <is>
          <t>Кран шаровый VALTEC BASE 3/4″ со сгоном, бабочка</t>
        </is>
      </c>
      <c r="D37" s="112" t="inlineStr">
        <is>
          <t>VT.227S.N.05</t>
        </is>
      </c>
      <c r="E37" s="113" t="n">
        <v>4</v>
      </c>
      <c r="F37" s="114" t="n">
        <v>793.26</v>
      </c>
      <c r="G37" s="114">
        <f>E37*F37</f>
        <v/>
      </c>
      <c r="H37" s="115" t="inlineStr">
        <is>
          <t>Кран шаровый VALTEC BASE 3/4″ г/ш с полусгоном, бабочка</t>
        </is>
      </c>
      <c r="I37" s="116" t="inlineStr">
        <is>
          <t>VT.227S.N.05</t>
        </is>
      </c>
      <c r="J37" s="117" t="n">
        <v>4</v>
      </c>
      <c r="K37" s="118" t="n">
        <v>966</v>
      </c>
      <c r="L37" s="118">
        <f>J37*K37</f>
        <v/>
      </c>
      <c r="M37" s="119">
        <f>IF(F37=0,"",K37/F37-1)</f>
        <v/>
      </c>
      <c r="N37" s="82">
        <f>IF(ABS(K37-F37)&lt;0.005,"равно",IF(K37&gt;F37,"МС дороже","КЛ дороже"))</f>
        <v/>
      </c>
      <c r="O37" s="120">
        <f>L37-G37</f>
        <v/>
      </c>
      <c r="P37" s="121" t="inlineStr">
        <is>
          <t>Одинаковый артикул</t>
        </is>
      </c>
      <c r="Q37" s="122">
        <f>J37-E37</f>
        <v/>
      </c>
      <c r="R37" s="79" t="inlineStr"/>
    </row>
    <row r="38" ht="36" customHeight="1">
      <c r="A38" s="68" t="n">
        <v>33</v>
      </c>
      <c r="B38" s="97" t="inlineStr">
        <is>
          <t>Краны и арматура</t>
        </is>
      </c>
      <c r="C38" s="98" t="inlineStr">
        <is>
          <t>Кран шаровый VALTEC с накидной гайкой 1″ вн.–нар.</t>
        </is>
      </c>
      <c r="D38" s="99" t="inlineStr">
        <is>
          <t>VT.260.N.0606</t>
        </is>
      </c>
      <c r="E38" s="100" t="n">
        <v>4</v>
      </c>
      <c r="F38" s="101" t="n">
        <v>1001.52</v>
      </c>
      <c r="G38" s="101">
        <f>E38*F38</f>
        <v/>
      </c>
      <c r="H38" s="102" t="inlineStr">
        <is>
          <t>Кран шаровый VALTEC с накидной гайкой 1″ вн.–нар.</t>
        </is>
      </c>
      <c r="I38" s="103" t="inlineStr">
        <is>
          <t>VT.260.N.0606</t>
        </is>
      </c>
      <c r="J38" s="104" t="n">
        <v>4</v>
      </c>
      <c r="K38" s="105" t="n">
        <v>1284</v>
      </c>
      <c r="L38" s="105">
        <f>J38*K38</f>
        <v/>
      </c>
      <c r="M38" s="106">
        <f>IF(F38=0,"",K38/F38-1)</f>
        <v/>
      </c>
      <c r="N38" s="68">
        <f>IF(ABS(K38-F38)&lt;0.005,"равно",IF(K38&gt;F38,"МС дороже","КЛ дороже"))</f>
        <v/>
      </c>
      <c r="O38" s="107">
        <f>L38-G38</f>
        <v/>
      </c>
      <c r="P38" s="108" t="inlineStr">
        <is>
          <t>Одинаковый артикул</t>
        </is>
      </c>
      <c r="Q38" s="109">
        <f>J38-E38</f>
        <v/>
      </c>
      <c r="R38" s="65" t="inlineStr"/>
    </row>
    <row r="39" ht="36" customHeight="1">
      <c r="A39" s="82" t="n">
        <v>34</v>
      </c>
      <c r="B39" s="110" t="inlineStr">
        <is>
          <t>Краны и арматура</t>
        </is>
      </c>
      <c r="C39" s="111" t="inlineStr">
        <is>
          <t>Кран прямой 1/2″ с накидной гайкой VIEIR</t>
        </is>
      </c>
      <c r="D39" s="112" t="inlineStr">
        <is>
          <t>VERS50</t>
        </is>
      </c>
      <c r="E39" s="113" t="n">
        <v>1</v>
      </c>
      <c r="F39" s="114" t="n">
        <v>410.85</v>
      </c>
      <c r="G39" s="114">
        <f>E39*F39</f>
        <v/>
      </c>
      <c r="H39" s="115" t="inlineStr">
        <is>
          <t>Кран шаровый с накидной гайкой 1/2″ г/г бабочка STI</t>
        </is>
      </c>
      <c r="I39" s="116" t="inlineStr">
        <is>
          <t>ТТ000016925</t>
        </is>
      </c>
      <c r="J39" s="117" t="n">
        <v>1</v>
      </c>
      <c r="K39" s="118" t="n">
        <v>544</v>
      </c>
      <c r="L39" s="118">
        <f>J39*K39</f>
        <v/>
      </c>
      <c r="M39" s="119">
        <f>IF(F39=0,"",K39/F39-1)</f>
        <v/>
      </c>
      <c r="N39" s="82">
        <f>IF(ABS(K39-F39)&lt;0.005,"равно",IF(K39&gt;F39,"МС дороже","КЛ дороже"))</f>
        <v/>
      </c>
      <c r="O39" s="120">
        <f>L39-G39</f>
        <v/>
      </c>
      <c r="P39" s="121" t="inlineStr">
        <is>
          <t>Аналог</t>
        </is>
      </c>
      <c r="Q39" s="122">
        <f>J39-E39</f>
        <v/>
      </c>
      <c r="R39" s="79" t="inlineStr">
        <is>
          <t>VIEIR vs STI</t>
        </is>
      </c>
    </row>
    <row r="40" ht="36" customHeight="1">
      <c r="A40" s="68" t="n">
        <v>35</v>
      </c>
      <c r="B40" s="97" t="inlineStr">
        <is>
          <t>Краны и арматура</t>
        </is>
      </c>
      <c r="C40" s="98" t="inlineStr">
        <is>
          <t>Кран прямой 3/4″ с накидной гайкой VIEIR</t>
        </is>
      </c>
      <c r="D40" s="99" t="inlineStr">
        <is>
          <t>VERS51</t>
        </is>
      </c>
      <c r="E40" s="100" t="n">
        <v>4</v>
      </c>
      <c r="F40" s="101" t="n">
        <v>730.4</v>
      </c>
      <c r="G40" s="101">
        <f>E40*F40</f>
        <v/>
      </c>
      <c r="H40" s="102" t="inlineStr">
        <is>
          <t>Кран шаровый с накидной гайкой 3/4″ г/г бабочка STI</t>
        </is>
      </c>
      <c r="I40" s="103" t="inlineStr">
        <is>
          <t>ТТ000016926</t>
        </is>
      </c>
      <c r="J40" s="104" t="n">
        <v>4</v>
      </c>
      <c r="K40" s="105" t="n">
        <v>771</v>
      </c>
      <c r="L40" s="105">
        <f>J40*K40</f>
        <v/>
      </c>
      <c r="M40" s="106">
        <f>IF(F40=0,"",K40/F40-1)</f>
        <v/>
      </c>
      <c r="N40" s="68">
        <f>IF(ABS(K40-F40)&lt;0.005,"равно",IF(K40&gt;F40,"МС дороже","КЛ дороже"))</f>
        <v/>
      </c>
      <c r="O40" s="107">
        <f>L40-G40</f>
        <v/>
      </c>
      <c r="P40" s="108" t="inlineStr">
        <is>
          <t>Аналог</t>
        </is>
      </c>
      <c r="Q40" s="109">
        <f>J40-E40</f>
        <v/>
      </c>
      <c r="R40" s="65" t="inlineStr">
        <is>
          <t>VIEIR vs STI</t>
        </is>
      </c>
    </row>
    <row r="41" ht="36" customHeight="1">
      <c r="A41" s="82" t="n">
        <v>36</v>
      </c>
      <c r="B41" s="110" t="inlineStr">
        <is>
          <t>Краны и арматура</t>
        </is>
      </c>
      <c r="C41" s="111" t="inlineStr">
        <is>
          <t>Воздухоотводчик автоматический 1/2″ VALTEC</t>
        </is>
      </c>
      <c r="D41" s="112" t="inlineStr">
        <is>
          <t>VT.502.NH.04</t>
        </is>
      </c>
      <c r="E41" s="113" t="n">
        <v>1</v>
      </c>
      <c r="F41" s="114" t="n">
        <v>573.3</v>
      </c>
      <c r="G41" s="114">
        <f>E41*F41</f>
        <v/>
      </c>
      <c r="H41" s="115" t="inlineStr">
        <is>
          <t>Воздухоотводчик автоматический 1/2″ VALTEC</t>
        </is>
      </c>
      <c r="I41" s="116" t="inlineStr">
        <is>
          <t>VT.502.NH.04</t>
        </is>
      </c>
      <c r="J41" s="117" t="n">
        <v>1</v>
      </c>
      <c r="K41" s="118" t="n">
        <v>735</v>
      </c>
      <c r="L41" s="118">
        <f>J41*K41</f>
        <v/>
      </c>
      <c r="M41" s="119">
        <f>IF(F41=0,"",K41/F41-1)</f>
        <v/>
      </c>
      <c r="N41" s="82">
        <f>IF(ABS(K41-F41)&lt;0.005,"равно",IF(K41&gt;F41,"МС дороже","КЛ дороже"))</f>
        <v/>
      </c>
      <c r="O41" s="120">
        <f>L41-G41</f>
        <v/>
      </c>
      <c r="P41" s="121" t="inlineStr">
        <is>
          <t>Одинаковый артикул</t>
        </is>
      </c>
      <c r="Q41" s="122">
        <f>J41-E41</f>
        <v/>
      </c>
      <c r="R41" s="79" t="inlineStr"/>
    </row>
    <row r="42" ht="36" customHeight="1">
      <c r="A42" s="68" t="n">
        <v>37</v>
      </c>
      <c r="B42" s="97" t="inlineStr">
        <is>
          <t>Краны и арматура</t>
        </is>
      </c>
      <c r="C42" s="98" t="inlineStr">
        <is>
          <t>Кран дренажный 1/2″ VALTEC</t>
        </is>
      </c>
      <c r="D42" s="99" t="inlineStr">
        <is>
          <t>VT.430.N.04</t>
        </is>
      </c>
      <c r="E42" s="100" t="n">
        <v>1</v>
      </c>
      <c r="F42" s="101" t="n">
        <v>384.54</v>
      </c>
      <c r="G42" s="101">
        <f>E42*F42</f>
        <v/>
      </c>
      <c r="H42" s="102" t="inlineStr">
        <is>
          <t>Кран дренажный 1/2″ VALTEC</t>
        </is>
      </c>
      <c r="I42" s="103" t="inlineStr">
        <is>
          <t>VT.430.N.04</t>
        </is>
      </c>
      <c r="J42" s="104" t="n">
        <v>1</v>
      </c>
      <c r="K42" s="105" t="n">
        <v>493</v>
      </c>
      <c r="L42" s="105">
        <f>J42*K42</f>
        <v/>
      </c>
      <c r="M42" s="106">
        <f>IF(F42=0,"",K42/F42-1)</f>
        <v/>
      </c>
      <c r="N42" s="68">
        <f>IF(ABS(K42-F42)&lt;0.005,"равно",IF(K42&gt;F42,"МС дороже","КЛ дороже"))</f>
        <v/>
      </c>
      <c r="O42" s="107">
        <f>L42-G42</f>
        <v/>
      </c>
      <c r="P42" s="108" t="inlineStr">
        <is>
          <t>Одинаковый артикул</t>
        </is>
      </c>
      <c r="Q42" s="109">
        <f>J42-E42</f>
        <v/>
      </c>
      <c r="R42" s="65" t="inlineStr"/>
    </row>
    <row r="43" ht="36" customHeight="1">
      <c r="A43" s="82" t="n">
        <v>38</v>
      </c>
      <c r="B43" s="110" t="inlineStr">
        <is>
          <t>Краны и арматура</t>
        </is>
      </c>
      <c r="C43" s="111" t="inlineStr">
        <is>
          <t>Термометр БТ-31 Ду63, задн. подкл., 1/2″, 0–120 °C</t>
        </is>
      </c>
      <c r="D43" s="112" t="inlineStr">
        <is>
          <t>—</t>
        </is>
      </c>
      <c r="E43" s="113" t="n">
        <v>2</v>
      </c>
      <c r="F43" s="114" t="n">
        <v>810</v>
      </c>
      <c r="G43" s="114">
        <f>E43*F43</f>
        <v/>
      </c>
      <c r="H43" s="115" t="inlineStr">
        <is>
          <t>Термометр БТ-31.211 РОСМА 63×1/2″ 120 °C, шток 46 мм</t>
        </is>
      </c>
      <c r="I43" s="116" t="inlineStr">
        <is>
          <t>533351</t>
        </is>
      </c>
      <c r="J43" s="117" t="n">
        <v>2</v>
      </c>
      <c r="K43" s="118" t="n">
        <v>1175</v>
      </c>
      <c r="L43" s="118">
        <f>J43*K43</f>
        <v/>
      </c>
      <c r="M43" s="119">
        <f>IF(F43=0,"",K43/F43-1)</f>
        <v/>
      </c>
      <c r="N43" s="82">
        <f>IF(ABS(K43-F43)&lt;0.005,"равно",IF(K43&gt;F43,"МС дороже","КЛ дороже"))</f>
        <v/>
      </c>
      <c r="O43" s="120">
        <f>L43-G43</f>
        <v/>
      </c>
      <c r="P43" s="121" t="inlineStr">
        <is>
          <t>Аналог</t>
        </is>
      </c>
      <c r="Q43" s="122">
        <f>J43-E43</f>
        <v/>
      </c>
      <c r="R43" s="79" t="inlineStr">
        <is>
          <t>Один тип прибора, разные поставщики</t>
        </is>
      </c>
    </row>
    <row r="44" ht="36" customHeight="1">
      <c r="A44" s="68" t="n">
        <v>39</v>
      </c>
      <c r="B44" s="97" t="inlineStr">
        <is>
          <t>Краны и арматура</t>
        </is>
      </c>
      <c r="C44" s="98" t="inlineStr">
        <is>
          <t>Заглушка наружная 1/2″ VALTEC</t>
        </is>
      </c>
      <c r="D44" s="99" t="inlineStr">
        <is>
          <t>VTr.583.N.0004</t>
        </is>
      </c>
      <c r="E44" s="100" t="n">
        <v>2</v>
      </c>
      <c r="F44" s="101" t="n">
        <v>73.31999999999999</v>
      </c>
      <c r="G44" s="101">
        <f>E44*F44</f>
        <v/>
      </c>
      <c r="H44" s="102" t="inlineStr">
        <is>
          <t>Заглушка 1/2″ нар. VRT никель</t>
        </is>
      </c>
      <c r="I44" s="103" t="inlineStr">
        <is>
          <t>550952</t>
        </is>
      </c>
      <c r="J44" s="104" t="n">
        <v>2</v>
      </c>
      <c r="K44" s="105" t="n">
        <v>59</v>
      </c>
      <c r="L44" s="105">
        <f>J44*K44</f>
        <v/>
      </c>
      <c r="M44" s="106">
        <f>IF(F44=0,"",K44/F44-1)</f>
        <v/>
      </c>
      <c r="N44" s="68">
        <f>IF(ABS(K44-F44)&lt;0.005,"равно",IF(K44&gt;F44,"МС дороже","КЛ дороже"))</f>
        <v/>
      </c>
      <c r="O44" s="107">
        <f>L44-G44</f>
        <v/>
      </c>
      <c r="P44" s="108" t="inlineStr">
        <is>
          <t>Аналог</t>
        </is>
      </c>
      <c r="Q44" s="109">
        <f>J44-E44</f>
        <v/>
      </c>
      <c r="R44" s="65" t="inlineStr">
        <is>
          <t>VALTEC vs VRT. Здесь дешевле МС</t>
        </is>
      </c>
    </row>
    <row r="45" ht="36" customHeight="1">
      <c r="A45" s="82" t="n">
        <v>40</v>
      </c>
      <c r="B45" s="110" t="inlineStr">
        <is>
          <t>Краны и арматура</t>
        </is>
      </c>
      <c r="C45" s="111" t="inlineStr">
        <is>
          <t>Заглушка внутренняя 1″ VALTEC</t>
        </is>
      </c>
      <c r="D45" s="112" t="inlineStr">
        <is>
          <t>VTr.590.N.0006</t>
        </is>
      </c>
      <c r="E45" s="113" t="n">
        <v>2</v>
      </c>
      <c r="F45" s="114" t="n">
        <v>158.34</v>
      </c>
      <c r="G45" s="114">
        <f>E45*F45</f>
        <v/>
      </c>
      <c r="H45" s="115" t="inlineStr">
        <is>
          <t>Заглушка 1″ вн. VRT никель</t>
        </is>
      </c>
      <c r="I45" s="116" t="inlineStr">
        <is>
          <t>554046</t>
        </is>
      </c>
      <c r="J45" s="117" t="n">
        <v>2</v>
      </c>
      <c r="K45" s="118" t="n">
        <v>151</v>
      </c>
      <c r="L45" s="118">
        <f>J45*K45</f>
        <v/>
      </c>
      <c r="M45" s="119">
        <f>IF(F45=0,"",K45/F45-1)</f>
        <v/>
      </c>
      <c r="N45" s="82">
        <f>IF(ABS(K45-F45)&lt;0.005,"равно",IF(K45&gt;F45,"МС дороже","КЛ дороже"))</f>
        <v/>
      </c>
      <c r="O45" s="120">
        <f>L45-G45</f>
        <v/>
      </c>
      <c r="P45" s="121" t="inlineStr">
        <is>
          <t>Аналог</t>
        </is>
      </c>
      <c r="Q45" s="122">
        <f>J45-E45</f>
        <v/>
      </c>
      <c r="R45" s="79" t="inlineStr">
        <is>
          <t>VALTEC vs VRT. Здесь дешевле МС</t>
        </is>
      </c>
    </row>
    <row r="46" ht="36" customHeight="1">
      <c r="A46" s="68" t="n">
        <v>41</v>
      </c>
      <c r="B46" s="97" t="inlineStr">
        <is>
          <t>Краны и арматура</t>
        </is>
      </c>
      <c r="C46" s="98" t="inlineStr">
        <is>
          <t>Переход вн. 1¼″×1″ VALTEC</t>
        </is>
      </c>
      <c r="D46" s="99" t="inlineStr">
        <is>
          <t>VTr.592.N.0706</t>
        </is>
      </c>
      <c r="E46" s="100" t="n">
        <v>2</v>
      </c>
      <c r="F46" s="101" t="n">
        <v>404.82</v>
      </c>
      <c r="G46" s="101">
        <f>E46*F46</f>
        <v/>
      </c>
      <c r="H46" s="102" t="inlineStr">
        <is>
          <t>Переходник 1¼″ вн. × 1″ нар. лат. LEXLINE</t>
        </is>
      </c>
      <c r="I46" s="103" t="inlineStr">
        <is>
          <t>512231</t>
        </is>
      </c>
      <c r="J46" s="104" t="n">
        <v>2</v>
      </c>
      <c r="K46" s="105" t="n">
        <v>413</v>
      </c>
      <c r="L46" s="105">
        <f>J46*K46</f>
        <v/>
      </c>
      <c r="M46" s="106">
        <f>IF(F46=0,"",K46/F46-1)</f>
        <v/>
      </c>
      <c r="N46" s="68">
        <f>IF(ABS(K46-F46)&lt;0.005,"равно",IF(K46&gt;F46,"МС дороже","КЛ дороже"))</f>
        <v/>
      </c>
      <c r="O46" s="107">
        <f>L46-G46</f>
        <v/>
      </c>
      <c r="P46" s="108" t="inlineStr">
        <is>
          <t>Аналог</t>
        </is>
      </c>
      <c r="Q46" s="109">
        <f>J46-E46</f>
        <v/>
      </c>
      <c r="R46" s="65" t="inlineStr">
        <is>
          <t>VALTEC vs LEXLINE</t>
        </is>
      </c>
    </row>
    <row r="47" ht="26" customHeight="1">
      <c r="A47" s="123" t="inlineStr">
        <is>
          <t>ИТОГО по сравниваемым позициям</t>
        </is>
      </c>
      <c r="B47" s="124" t="n"/>
      <c r="C47" s="124" t="n"/>
      <c r="D47" s="124" t="n"/>
      <c r="E47" s="125">
        <f>SUM(E6:E46)</f>
        <v/>
      </c>
      <c r="F47" s="124" t="n"/>
      <c r="G47" s="46">
        <f>SUM(G6:G46)</f>
        <v/>
      </c>
      <c r="H47" s="124" t="n"/>
      <c r="I47" s="124" t="n"/>
      <c r="J47" s="125">
        <f>SUM(J6:J46)</f>
        <v/>
      </c>
      <c r="K47" s="124" t="n"/>
      <c r="L47" s="46">
        <f>SUM(L6:L46)</f>
        <v/>
      </c>
      <c r="M47" s="47">
        <f>IF(G47=0,"",L47/G47-1)</f>
        <v/>
      </c>
      <c r="N47" s="124" t="inlineStr">
        <is>
          <t>МС дороже</t>
        </is>
      </c>
      <c r="O47" s="126">
        <f>L47-G47</f>
        <v/>
      </c>
      <c r="P47" s="124" t="n"/>
      <c r="Q47" s="124" t="n"/>
      <c r="R47" s="124" t="n"/>
    </row>
    <row r="49" ht="32" customHeight="1">
      <c r="A49" s="127" t="inlineStr">
        <is>
          <t>Легенда:  зелёный тип — один и тот же артикул/товар;  жёлтый — функциональный аналог (другой бренд или серия);  красный — нельзя считать одним товаром.  Δ цена ед. = цена МС / цена КЛ − 1.  Положительная Δ сумма — МС дороже.  Документальные итоги счетов см. лист «Сводка».</t>
        </is>
      </c>
      <c r="B49" s="127" t="n"/>
      <c r="C49" s="127" t="n"/>
      <c r="D49" s="127" t="n"/>
      <c r="E49" s="127" t="n"/>
      <c r="F49" s="127" t="n"/>
      <c r="G49" s="127" t="n"/>
      <c r="H49" s="127" t="n"/>
      <c r="I49" s="127" t="n"/>
      <c r="J49" s="127" t="n"/>
      <c r="K49" s="127" t="n"/>
      <c r="L49" s="127" t="n"/>
      <c r="M49" s="127" t="n"/>
      <c r="N49" s="127" t="n"/>
      <c r="O49" s="127" t="n"/>
      <c r="P49" s="127" t="n"/>
      <c r="Q49" s="127" t="n"/>
      <c r="R49" s="127" t="n"/>
    </row>
  </sheetData>
  <autoFilter ref="A5:R46"/>
  <mergeCells count="8">
    <mergeCell ref="H3:L3"/>
    <mergeCell ref="A2:R2"/>
    <mergeCell ref="A49:R49"/>
    <mergeCell ref="M3:R3"/>
    <mergeCell ref="A1:R1"/>
    <mergeCell ref="A47:D47"/>
    <mergeCell ref="A3:B3"/>
    <mergeCell ref="C3:G3"/>
  </mergeCells>
  <conditionalFormatting sqref="M6:M4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O6:O46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N6:N46">
    <cfRule type="expression" priority="5" dxfId="0">
      <formula>$N6="МС дороже"</formula>
    </cfRule>
    <cfRule type="expression" priority="6" dxfId="1">
      <formula>$N6="КЛ дороже"</formula>
    </cfRule>
  </conditionalFormatting>
  <conditionalFormatting sqref="P6:P46">
    <cfRule type="expression" priority="7" dxfId="2">
      <formula>$P6="Не эквивалент"</formula>
    </cfRule>
    <cfRule type="expression" priority="8" dxfId="3">
      <formula>$P6="Аналог"</formula>
    </cfRule>
    <cfRule type="expression" priority="9" dxfId="4">
      <formula>$P6="Одинаковый артикул"</formula>
    </cfRule>
    <cfRule type="expression" priority="10" dxfId="4">
      <formula>$P6="Одинаковый товар"</formula>
    </cfRule>
  </conditionalFormatting>
  <conditionalFormatting sqref="Q6:Q46">
    <cfRule type="cellIs" priority="11" operator="notEqual" dxfId="5">
      <formula>0</formula>
    </cfRule>
  </conditionalFormatting>
  <pageMargins left="0.4" right="0.4" top="0.5" bottom="0.5" header="0.5" footer="0.5"/>
  <pageSetup orientation="landscape" paperSize="9" fitToHeight="0" fitToWidth="1"/>
  <headerFooter>
    <oddHeader>&amp;L&amp;B Сравнение позиций КЛ-1864 vs МС</oddHeader>
    <oddFooter>&amp;RСтр.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B9770E"/>
    <outlinePr summaryBelow="1" summaryRight="1"/>
    <pageSetUpPr fitToPage="1"/>
  </sheetPr>
  <dimension ref="A1:M24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8" customWidth="1" min="3" max="3"/>
    <col width="22" customWidth="1" min="4" max="4"/>
    <col width="12" customWidth="1" min="5" max="5"/>
    <col width="12" customWidth="1" min="6" max="6"/>
    <col width="48" customWidth="1" min="7" max="7"/>
    <col width="22" customWidth="1" min="8" max="8"/>
    <col width="12" customWidth="1" min="9" max="9"/>
    <col width="12" customWidth="1" min="10" max="10"/>
    <col width="14" customWidth="1" min="11" max="11"/>
    <col width="14" customWidth="1" min="12" max="12"/>
    <col width="50" customWidth="1" min="13" max="13"/>
  </cols>
  <sheetData>
    <row r="1" ht="32" customHeight="1">
      <c r="A1" s="128" t="inlineStr">
        <is>
          <t>Замены и аналоги  ·  один функционал, разные бренд / серия / модель</t>
        </is>
      </c>
      <c r="B1" s="129" t="n"/>
      <c r="C1" s="129" t="n"/>
      <c r="D1" s="129" t="n"/>
      <c r="E1" s="129" t="n"/>
      <c r="F1" s="129" t="n"/>
      <c r="G1" s="129" t="n"/>
      <c r="H1" s="129" t="n"/>
      <c r="I1" s="129" t="n"/>
      <c r="J1" s="129" t="n"/>
      <c r="K1" s="129" t="n"/>
      <c r="L1" s="129" t="n"/>
      <c r="M1" s="129" t="n"/>
    </row>
    <row r="2">
      <c r="A2" s="130" t="inlineStr">
        <is>
          <t>Эти позиции есть в обоих документах, но это не один и тот же артикул. Цены сравнивать можно только как ориентир.</t>
        </is>
      </c>
      <c r="B2" s="131" t="n"/>
      <c r="C2" s="131" t="n"/>
      <c r="D2" s="131" t="n"/>
      <c r="E2" s="131" t="n"/>
      <c r="F2" s="131" t="n"/>
      <c r="G2" s="131" t="n"/>
      <c r="H2" s="131" t="n"/>
      <c r="I2" s="131" t="n"/>
      <c r="J2" s="131" t="n"/>
      <c r="K2" s="131" t="n"/>
      <c r="L2" s="131" t="n"/>
      <c r="M2" s="131" t="n"/>
    </row>
    <row r="4" ht="24" customHeight="1">
      <c r="A4" s="132" t="inlineStr">
        <is>
          <t>№</t>
        </is>
      </c>
      <c r="B4" s="132" t="inlineStr">
        <is>
          <t>Группа</t>
        </is>
      </c>
      <c r="C4" s="94" t="inlineStr">
        <is>
          <t>КЛ-1864</t>
        </is>
      </c>
      <c r="D4" s="94" t="inlineStr">
        <is>
          <t>Артикул КЛ</t>
        </is>
      </c>
      <c r="E4" s="94" t="inlineStr">
        <is>
          <t>Кол-во</t>
        </is>
      </c>
      <c r="F4" s="94" t="inlineStr">
        <is>
          <t>Цена КЛ</t>
        </is>
      </c>
      <c r="G4" s="95" t="inlineStr">
        <is>
          <t>МС</t>
        </is>
      </c>
      <c r="H4" s="95" t="inlineStr">
        <is>
          <t>Артикул МС</t>
        </is>
      </c>
      <c r="I4" s="95" t="inlineStr">
        <is>
          <t>Кол-во</t>
        </is>
      </c>
      <c r="J4" s="95" t="inlineStr">
        <is>
          <t>Цена МС</t>
        </is>
      </c>
      <c r="K4" s="132" t="inlineStr">
        <is>
          <t>Δ цена</t>
        </is>
      </c>
      <c r="L4" s="132" t="inlineStr">
        <is>
          <t>Δ сумма, ₽</t>
        </is>
      </c>
      <c r="M4" s="132" t="inlineStr">
        <is>
          <t>Суть замены</t>
        </is>
      </c>
    </row>
    <row r="5" ht="38" customHeight="1">
      <c r="A5" s="68" t="n">
        <v>1</v>
      </c>
      <c r="B5" s="65" t="inlineStr">
        <is>
          <t>Радиаторы</t>
        </is>
      </c>
      <c r="C5" s="65" t="inlineStr">
        <is>
          <t>Радиатор алюм. Royal Thermo Revolution 500, 8 секц.</t>
        </is>
      </c>
      <c r="D5" s="68" t="inlineStr">
        <is>
          <t>—</t>
        </is>
      </c>
      <c r="E5" s="133" t="n">
        <v>6</v>
      </c>
      <c r="F5" s="134" t="n">
        <v>7333.6</v>
      </c>
      <c r="G5" s="65" t="inlineStr">
        <is>
          <t>Радиатор алюм. Royal Thermo MONOBLOCK A 500×80, 8 секц.</t>
        </is>
      </c>
      <c r="H5" s="68" t="inlineStr">
        <is>
          <t>542451</t>
        </is>
      </c>
      <c r="I5" s="133" t="n">
        <v>6</v>
      </c>
      <c r="J5" s="134" t="n">
        <v>8266</v>
      </c>
      <c r="K5" s="135" t="n">
        <v>0.1271408312425002</v>
      </c>
      <c r="L5" s="66" t="n">
        <v>5594.399999999994</v>
      </c>
      <c r="M5" s="65" t="inlineStr">
        <is>
          <t>Аналог. Другая серия: Revolution vs MONOBLOCK A</t>
        </is>
      </c>
    </row>
    <row r="6" ht="38" customHeight="1">
      <c r="A6" s="74" t="n">
        <v>2</v>
      </c>
      <c r="B6" s="71" t="inlineStr">
        <is>
          <t>Радиаторы</t>
        </is>
      </c>
      <c r="C6" s="71" t="inlineStr">
        <is>
          <t>Радиатор алюм. Royal Thermo Revolution 500, 6 секц.</t>
        </is>
      </c>
      <c r="D6" s="74" t="inlineStr">
        <is>
          <t>—</t>
        </is>
      </c>
      <c r="E6" s="136" t="n">
        <v>6</v>
      </c>
      <c r="F6" s="137" t="n">
        <v>5500.2</v>
      </c>
      <c r="G6" s="71" t="inlineStr">
        <is>
          <t>Радиатор алюм. Royal Thermo MONOBLOCK A 500×80, 10 секц.</t>
        </is>
      </c>
      <c r="H6" s="74" t="inlineStr">
        <is>
          <t>542452</t>
        </is>
      </c>
      <c r="I6" s="136" t="n">
        <v>6</v>
      </c>
      <c r="J6" s="137" t="n">
        <v>10856</v>
      </c>
      <c r="K6" s="138" t="n">
        <v>0.9737464092214829</v>
      </c>
      <c r="L6" s="72" t="n">
        <v>32134.8</v>
      </c>
      <c r="M6" s="71" t="inlineStr">
        <is>
          <t>Не эквивалент. КРИТИЧНО: 6 секций vs 10 секций + другая серия</t>
        </is>
      </c>
    </row>
    <row r="7" ht="38" customHeight="1">
      <c r="A7" s="68" t="n">
        <v>3</v>
      </c>
      <c r="B7" s="65" t="inlineStr">
        <is>
          <t>Радиаторы</t>
        </is>
      </c>
      <c r="C7" s="65" t="inlineStr">
        <is>
          <t>Радиатор алюм. Royal Thermo Revolution 500, 12 секц.</t>
        </is>
      </c>
      <c r="D7" s="68" t="inlineStr">
        <is>
          <t>—</t>
        </is>
      </c>
      <c r="E7" s="133" t="n">
        <v>3</v>
      </c>
      <c r="F7" s="134" t="n">
        <v>11000.4</v>
      </c>
      <c r="G7" s="65" t="inlineStr">
        <is>
          <t>Радиатор алюм. Royal Thermo MONOBLOCK A 500×80, 12 секц.</t>
        </is>
      </c>
      <c r="H7" s="68" t="inlineStr">
        <is>
          <t>542453</t>
        </is>
      </c>
      <c r="I7" s="133" t="n">
        <v>3</v>
      </c>
      <c r="J7" s="134" t="n">
        <v>12400</v>
      </c>
      <c r="K7" s="135" t="n">
        <v>0.1272317370277445</v>
      </c>
      <c r="L7" s="66" t="n">
        <v>4198.800000000003</v>
      </c>
      <c r="M7" s="65" t="inlineStr">
        <is>
          <t>Аналог. Другая серия: Revolution vs MONOBLOCK A</t>
        </is>
      </c>
    </row>
    <row r="8" ht="38" customHeight="1">
      <c r="A8" s="82" t="n">
        <v>4</v>
      </c>
      <c r="B8" s="79" t="inlineStr">
        <is>
          <t>Обвязка радиаторов</t>
        </is>
      </c>
      <c r="C8" s="79" t="inlineStr">
        <is>
          <t>Комплект для радиаторов СТМ 1/2″ с 3 кронштейнами</t>
        </is>
      </c>
      <c r="D8" s="82" t="inlineStr">
        <is>
          <t>—</t>
        </is>
      </c>
      <c r="E8" s="139" t="n">
        <v>15</v>
      </c>
      <c r="F8" s="140" t="n">
        <v>265.6</v>
      </c>
      <c r="G8" s="79" t="inlineStr">
        <is>
          <t>Комплект для радиатора 1/2″ (с 3 кронштейнами) ТМ</t>
        </is>
      </c>
      <c r="H8" s="82" t="inlineStr">
        <is>
          <t>—</t>
        </is>
      </c>
      <c r="I8" s="139" t="n">
        <v>15</v>
      </c>
      <c r="J8" s="140" t="n">
        <v>432</v>
      </c>
      <c r="K8" s="141" t="n">
        <v>0.6265060240963853</v>
      </c>
      <c r="L8" s="80" t="n">
        <v>2496</v>
      </c>
      <c r="M8" s="79" t="inlineStr">
        <is>
          <t>Аналог. СТМ vs ТМ</t>
        </is>
      </c>
    </row>
    <row r="9" ht="38" customHeight="1">
      <c r="A9" s="68" t="n">
        <v>5</v>
      </c>
      <c r="B9" s="65" t="inlineStr">
        <is>
          <t>Обвязка радиаторов</t>
        </is>
      </c>
      <c r="C9" s="65" t="inlineStr">
        <is>
          <t>Клапан ручной угловой 1/2″ VALTEC компактный</t>
        </is>
      </c>
      <c r="D9" s="68" t="inlineStr">
        <is>
          <t>VT.007.LN.04</t>
        </is>
      </c>
      <c r="E9" s="133" t="n">
        <v>15</v>
      </c>
      <c r="F9" s="134" t="n">
        <v>530.4</v>
      </c>
      <c r="G9" s="65" t="inlineStr">
        <is>
          <t>Вентиль ручной ZEGOR угловой 1/2″ компактный</t>
        </is>
      </c>
      <c r="H9" s="68" t="inlineStr">
        <is>
          <t>QS-3461</t>
        </is>
      </c>
      <c r="I9" s="133" t="n">
        <v>15</v>
      </c>
      <c r="J9" s="134" t="n">
        <v>476</v>
      </c>
      <c r="K9" s="142" t="n">
        <v>-0.1025641025641025</v>
      </c>
      <c r="L9" s="143" t="n">
        <v>-816</v>
      </c>
      <c r="M9" s="65" t="inlineStr">
        <is>
          <t>Аналог. VALTEC vs ZEGOR. Здесь дешевле МС</t>
        </is>
      </c>
    </row>
    <row r="10" ht="38" customHeight="1">
      <c r="A10" s="82" t="n">
        <v>6</v>
      </c>
      <c r="B10" s="79" t="inlineStr">
        <is>
          <t>Коллекторы тёплого пола</t>
        </is>
      </c>
      <c r="C10" s="79" t="inlineStr">
        <is>
          <t>Коллекторная группа ONDO нерж. 5 вых. с расходомерами</t>
        </is>
      </c>
      <c r="D10" s="82" t="inlineStr">
        <is>
          <t>—</t>
        </is>
      </c>
      <c r="E10" s="139" t="n">
        <v>1</v>
      </c>
      <c r="F10" s="140" t="n">
        <v>5976</v>
      </c>
      <c r="G10" s="79" t="inlineStr">
        <is>
          <t>Коллекторная группа нерж. 1″ 5 вых. ТМ с расходомерами</t>
        </is>
      </c>
      <c r="H10" s="82" t="inlineStr">
        <is>
          <t>TOP1305</t>
        </is>
      </c>
      <c r="I10" s="139" t="n">
        <v>1</v>
      </c>
      <c r="J10" s="140" t="n">
        <v>5784</v>
      </c>
      <c r="K10" s="144" t="n">
        <v>-0.03212851405622486</v>
      </c>
      <c r="L10" s="145" t="n">
        <v>-192</v>
      </c>
      <c r="M10" s="79" t="inlineStr">
        <is>
          <t>Аналог. ONDO vs ТМ. Здесь дешевле МС</t>
        </is>
      </c>
    </row>
    <row r="11" ht="38" customHeight="1">
      <c r="A11" s="68" t="n">
        <v>7</v>
      </c>
      <c r="B11" s="65" t="inlineStr">
        <is>
          <t>Коллекторы тёплого пола</t>
        </is>
      </c>
      <c r="C11" s="65" t="inlineStr">
        <is>
          <t>Коллекторная группа ONDO нерж. 8 вых. с расходомерами</t>
        </is>
      </c>
      <c r="D11" s="68" t="inlineStr">
        <is>
          <t>—</t>
        </is>
      </c>
      <c r="E11" s="133" t="n">
        <v>1</v>
      </c>
      <c r="F11" s="134" t="n">
        <v>7387</v>
      </c>
      <c r="G11" s="65" t="inlineStr">
        <is>
          <t>Коллекторная группа нерж. 1″ 8 вых. ТМ с расходомерами</t>
        </is>
      </c>
      <c r="H11" s="68" t="inlineStr">
        <is>
          <t>TOP1308</t>
        </is>
      </c>
      <c r="I11" s="133" t="n">
        <v>1</v>
      </c>
      <c r="J11" s="134" t="n">
        <v>9253</v>
      </c>
      <c r="K11" s="135" t="n">
        <v>0.2526059293353189</v>
      </c>
      <c r="L11" s="66" t="n">
        <v>1866</v>
      </c>
      <c r="M11" s="65" t="inlineStr">
        <is>
          <t>Аналог. ONDO vs ТМ</t>
        </is>
      </c>
    </row>
    <row r="12" ht="38" customHeight="1">
      <c r="A12" s="82" t="n">
        <v>8</v>
      </c>
      <c r="B12" s="79" t="inlineStr">
        <is>
          <t>Коллекторы тёплого пола</t>
        </is>
      </c>
      <c r="C12" s="79" t="inlineStr">
        <is>
          <t>Евроконус для м/п трубы 16 VALTEC</t>
        </is>
      </c>
      <c r="D12" s="82" t="inlineStr">
        <is>
          <t>VT.4420.NVE.16</t>
        </is>
      </c>
      <c r="E12" s="139" t="n">
        <v>26</v>
      </c>
      <c r="F12" s="140" t="n">
        <v>179.4</v>
      </c>
      <c r="G12" s="79" t="inlineStr">
        <is>
          <t>Евроконус 16×3/4 для коллекторных групп VRT</t>
        </is>
      </c>
      <c r="H12" s="82" t="inlineStr">
        <is>
          <t>524083</t>
        </is>
      </c>
      <c r="I12" s="139" t="n">
        <v>26</v>
      </c>
      <c r="J12" s="140" t="n">
        <v>215</v>
      </c>
      <c r="K12" s="141" t="n">
        <v>0.1984392419175027</v>
      </c>
      <c r="L12" s="80" t="n">
        <v>925.5999999999995</v>
      </c>
      <c r="M12" s="79" t="inlineStr">
        <is>
          <t>Аналог. VALTEC vs VRT</t>
        </is>
      </c>
    </row>
    <row r="13" ht="38" customHeight="1">
      <c r="A13" s="68" t="n">
        <v>9</v>
      </c>
      <c r="B13" s="65" t="inlineStr">
        <is>
          <t>Смесители и насосы</t>
        </is>
      </c>
      <c r="C13" s="65" t="inlineStr">
        <is>
          <t>Гидрострелка Север-М2+1</t>
        </is>
      </c>
      <c r="D13" s="68" t="inlineStr">
        <is>
          <t>—</t>
        </is>
      </c>
      <c r="E13" s="133" t="n">
        <v>1</v>
      </c>
      <c r="F13" s="134" t="n">
        <v>11553.6</v>
      </c>
      <c r="G13" s="65" t="inlineStr">
        <is>
          <t>Разделитель гидравлический Дельта-У2+1</t>
        </is>
      </c>
      <c r="H13" s="68" t="inlineStr">
        <is>
          <t>1801009</t>
        </is>
      </c>
      <c r="I13" s="133" t="n">
        <v>1</v>
      </c>
      <c r="J13" s="134" t="n">
        <v>11134</v>
      </c>
      <c r="K13" s="142" t="n">
        <v>-0.03631768453122841</v>
      </c>
      <c r="L13" s="143" t="n">
        <v>-419.6000000000004</v>
      </c>
      <c r="M13" s="65" t="inlineStr">
        <is>
          <t>Аналог. Север vs Дельта. Здесь дешевле МС</t>
        </is>
      </c>
    </row>
    <row r="14" ht="38" customHeight="1">
      <c r="A14" s="82" t="n">
        <v>10</v>
      </c>
      <c r="B14" s="79" t="inlineStr">
        <is>
          <t>Смесители и насосы</t>
        </is>
      </c>
      <c r="C14" s="79" t="inlineStr">
        <is>
          <t>Циркуляционный насос ГВС 130 мм VIEIR латунь</t>
        </is>
      </c>
      <c r="D14" s="82" t="inlineStr">
        <is>
          <t>VRT20-6-130</t>
        </is>
      </c>
      <c r="E14" s="139" t="n">
        <v>1</v>
      </c>
      <c r="F14" s="140" t="n">
        <v>4565</v>
      </c>
      <c r="G14" s="79" t="inlineStr">
        <is>
          <t>Насос циркуляционный Unipump LPA 20-60 B (ГВС, тёплый пол)</t>
        </is>
      </c>
      <c r="H14" s="82" t="inlineStr">
        <is>
          <t>50260</t>
        </is>
      </c>
      <c r="I14" s="139" t="n">
        <v>1</v>
      </c>
      <c r="J14" s="140" t="n">
        <v>11230</v>
      </c>
      <c r="K14" s="141" t="n">
        <v>1.460021905805038</v>
      </c>
      <c r="L14" s="80" t="n">
        <v>6665</v>
      </c>
      <c r="M14" s="79" t="inlineStr">
        <is>
          <t>Аналог. Vieir 130 мм vs Unipump LPA. Разная монтажная длина и бренд</t>
        </is>
      </c>
    </row>
    <row r="15" ht="38" customHeight="1">
      <c r="A15" s="74" t="n">
        <v>11</v>
      </c>
      <c r="B15" s="71" t="inlineStr">
        <is>
          <t>Краны и арматура</t>
        </is>
      </c>
      <c r="C15" s="71" t="inlineStr">
        <is>
          <t>Кран шаровый VALTEC BASE 1″ прямой со сгоном, бабочка</t>
        </is>
      </c>
      <c r="D15" s="74" t="inlineStr">
        <is>
          <t>VT.227S.N.06</t>
        </is>
      </c>
      <c r="E15" s="136" t="n">
        <v>4</v>
      </c>
      <c r="F15" s="137" t="n">
        <v>1732.38</v>
      </c>
      <c r="G15" s="71" t="inlineStr">
        <is>
          <t>Кран шаровый VALTEC BASE 1″ УГЛОВОЙ с полусгоном</t>
        </is>
      </c>
      <c r="H15" s="74" t="inlineStr">
        <is>
          <t>VT.228.N.06</t>
        </is>
      </c>
      <c r="I15" s="136" t="n">
        <v>4</v>
      </c>
      <c r="J15" s="137" t="n">
        <v>2256</v>
      </c>
      <c r="K15" s="138" t="n">
        <v>0.3022547016243549</v>
      </c>
      <c r="L15" s="72" t="n">
        <v>2094.48</v>
      </c>
      <c r="M15" s="71" t="inlineStr">
        <is>
          <t>Не эквивалент. КРИТИЧНО: прямой кран vs угловой</t>
        </is>
      </c>
    </row>
    <row r="16" ht="38" customHeight="1">
      <c r="A16" s="82" t="n">
        <v>12</v>
      </c>
      <c r="B16" s="79" t="inlineStr">
        <is>
          <t>Краны и арматура</t>
        </is>
      </c>
      <c r="C16" s="79" t="inlineStr">
        <is>
          <t>Кран прямой 1/2″ с накидной гайкой VIEIR</t>
        </is>
      </c>
      <c r="D16" s="82" t="inlineStr">
        <is>
          <t>VERS50</t>
        </is>
      </c>
      <c r="E16" s="139" t="n">
        <v>1</v>
      </c>
      <c r="F16" s="140" t="n">
        <v>410.85</v>
      </c>
      <c r="G16" s="79" t="inlineStr">
        <is>
          <t>Кран шаровый с накидной гайкой 1/2″ г/г бабочка STI</t>
        </is>
      </c>
      <c r="H16" s="82" t="inlineStr">
        <is>
          <t>ТТ000016925</t>
        </is>
      </c>
      <c r="I16" s="139" t="n">
        <v>1</v>
      </c>
      <c r="J16" s="140" t="n">
        <v>544</v>
      </c>
      <c r="K16" s="141" t="n">
        <v>0.3240842156504806</v>
      </c>
      <c r="L16" s="80" t="n">
        <v>133.15</v>
      </c>
      <c r="M16" s="79" t="inlineStr">
        <is>
          <t>Аналог. VIEIR vs STI</t>
        </is>
      </c>
    </row>
    <row r="17" ht="38" customHeight="1">
      <c r="A17" s="68" t="n">
        <v>13</v>
      </c>
      <c r="B17" s="65" t="inlineStr">
        <is>
          <t>Краны и арматура</t>
        </is>
      </c>
      <c r="C17" s="65" t="inlineStr">
        <is>
          <t>Кран прямой 3/4″ с накидной гайкой VIEIR</t>
        </is>
      </c>
      <c r="D17" s="68" t="inlineStr">
        <is>
          <t>VERS51</t>
        </is>
      </c>
      <c r="E17" s="133" t="n">
        <v>4</v>
      </c>
      <c r="F17" s="134" t="n">
        <v>730.4</v>
      </c>
      <c r="G17" s="65" t="inlineStr">
        <is>
          <t>Кран шаровый с накидной гайкой 3/4″ г/г бабочка STI</t>
        </is>
      </c>
      <c r="H17" s="68" t="inlineStr">
        <is>
          <t>ТТ000016926</t>
        </is>
      </c>
      <c r="I17" s="133" t="n">
        <v>4</v>
      </c>
      <c r="J17" s="134" t="n">
        <v>771</v>
      </c>
      <c r="K17" s="135" t="n">
        <v>0.05558598028477557</v>
      </c>
      <c r="L17" s="66" t="n">
        <v>162.4000000000001</v>
      </c>
      <c r="M17" s="65" t="inlineStr">
        <is>
          <t>Аналог. VIEIR vs STI</t>
        </is>
      </c>
    </row>
    <row r="18" ht="38" customHeight="1">
      <c r="A18" s="82" t="n">
        <v>14</v>
      </c>
      <c r="B18" s="79" t="inlineStr">
        <is>
          <t>Краны и арматура</t>
        </is>
      </c>
      <c r="C18" s="79" t="inlineStr">
        <is>
          <t>Термометр БТ-31 Ду63, задн. подкл., 1/2″, 0–120 °C</t>
        </is>
      </c>
      <c r="D18" s="82" t="inlineStr">
        <is>
          <t>—</t>
        </is>
      </c>
      <c r="E18" s="139" t="n">
        <v>2</v>
      </c>
      <c r="F18" s="140" t="n">
        <v>810</v>
      </c>
      <c r="G18" s="79" t="inlineStr">
        <is>
          <t>Термометр БТ-31.211 РОСМА 63×1/2″ 120 °C, шток 46 мм</t>
        </is>
      </c>
      <c r="H18" s="82" t="inlineStr">
        <is>
          <t>533351</t>
        </is>
      </c>
      <c r="I18" s="139" t="n">
        <v>2</v>
      </c>
      <c r="J18" s="140" t="n">
        <v>1175</v>
      </c>
      <c r="K18" s="141" t="n">
        <v>0.4506172839506173</v>
      </c>
      <c r="L18" s="80" t="n">
        <v>730</v>
      </c>
      <c r="M18" s="79" t="inlineStr">
        <is>
          <t>Аналог. Один тип прибора, разные поставщики</t>
        </is>
      </c>
    </row>
    <row r="19" ht="38" customHeight="1">
      <c r="A19" s="68" t="n">
        <v>15</v>
      </c>
      <c r="B19" s="65" t="inlineStr">
        <is>
          <t>Краны и арматура</t>
        </is>
      </c>
      <c r="C19" s="65" t="inlineStr">
        <is>
          <t>Заглушка наружная 1/2″ VALTEC</t>
        </is>
      </c>
      <c r="D19" s="68" t="inlineStr">
        <is>
          <t>VTr.583.N.0004</t>
        </is>
      </c>
      <c r="E19" s="133" t="n">
        <v>2</v>
      </c>
      <c r="F19" s="134" t="n">
        <v>73.31999999999999</v>
      </c>
      <c r="G19" s="65" t="inlineStr">
        <is>
          <t>Заглушка 1/2″ нар. VRT никель</t>
        </is>
      </c>
      <c r="H19" s="68" t="inlineStr">
        <is>
          <t>550952</t>
        </is>
      </c>
      <c r="I19" s="133" t="n">
        <v>2</v>
      </c>
      <c r="J19" s="134" t="n">
        <v>59</v>
      </c>
      <c r="K19" s="142" t="n">
        <v>-0.1953082378614293</v>
      </c>
      <c r="L19" s="143" t="n">
        <v>-28.63999999999999</v>
      </c>
      <c r="M19" s="65" t="inlineStr">
        <is>
          <t>Аналог. VALTEC vs VRT. Здесь дешевле МС</t>
        </is>
      </c>
    </row>
    <row r="20" ht="38" customHeight="1">
      <c r="A20" s="82" t="n">
        <v>16</v>
      </c>
      <c r="B20" s="79" t="inlineStr">
        <is>
          <t>Краны и арматура</t>
        </is>
      </c>
      <c r="C20" s="79" t="inlineStr">
        <is>
          <t>Заглушка внутренняя 1″ VALTEC</t>
        </is>
      </c>
      <c r="D20" s="82" t="inlineStr">
        <is>
          <t>VTr.590.N.0006</t>
        </is>
      </c>
      <c r="E20" s="139" t="n">
        <v>2</v>
      </c>
      <c r="F20" s="140" t="n">
        <v>158.34</v>
      </c>
      <c r="G20" s="79" t="inlineStr">
        <is>
          <t>Заглушка 1″ вн. VRT никель</t>
        </is>
      </c>
      <c r="H20" s="82" t="inlineStr">
        <is>
          <t>554046</t>
        </is>
      </c>
      <c r="I20" s="139" t="n">
        <v>2</v>
      </c>
      <c r="J20" s="140" t="n">
        <v>151</v>
      </c>
      <c r="K20" s="144" t="n">
        <v>-0.04635594290766709</v>
      </c>
      <c r="L20" s="145" t="n">
        <v>-14.68000000000001</v>
      </c>
      <c r="M20" s="79" t="inlineStr">
        <is>
          <t>Аналог. VALTEC vs VRT. Здесь дешевле МС</t>
        </is>
      </c>
    </row>
    <row r="21" ht="38" customHeight="1">
      <c r="A21" s="68" t="n">
        <v>17</v>
      </c>
      <c r="B21" s="65" t="inlineStr">
        <is>
          <t>Краны и арматура</t>
        </is>
      </c>
      <c r="C21" s="65" t="inlineStr">
        <is>
          <t>Переход вн. 1¼″×1″ VALTEC</t>
        </is>
      </c>
      <c r="D21" s="68" t="inlineStr">
        <is>
          <t>VTr.592.N.0706</t>
        </is>
      </c>
      <c r="E21" s="133" t="n">
        <v>2</v>
      </c>
      <c r="F21" s="134" t="n">
        <v>404.82</v>
      </c>
      <c r="G21" s="65" t="inlineStr">
        <is>
          <t>Переходник 1¼″ вн. × 1″ нар. лат. LEXLINE</t>
        </is>
      </c>
      <c r="H21" s="68" t="inlineStr">
        <is>
          <t>512231</t>
        </is>
      </c>
      <c r="I21" s="133" t="n">
        <v>2</v>
      </c>
      <c r="J21" s="134" t="n">
        <v>413</v>
      </c>
      <c r="K21" s="135" t="n">
        <v>0.02020651153599129</v>
      </c>
      <c r="L21" s="66" t="n">
        <v>16.36000000000001</v>
      </c>
      <c r="M21" s="65" t="inlineStr">
        <is>
          <t>Аналог. VALTEC vs LEXLINE</t>
        </is>
      </c>
    </row>
    <row r="22">
      <c r="A22" s="146" t="inlineStr">
        <is>
          <t>Итого замен и не-эквивалентов: 17 позиций</t>
        </is>
      </c>
      <c r="B22" s="132" t="n"/>
      <c r="C22" s="132" t="n"/>
      <c r="D22" s="132" t="n"/>
      <c r="E22" s="132" t="n"/>
      <c r="F22" s="132" t="n"/>
      <c r="G22" s="132" t="n"/>
      <c r="H22" s="132" t="n"/>
      <c r="I22" s="132" t="n"/>
      <c r="J22" s="132" t="n"/>
      <c r="K22" s="132" t="n"/>
      <c r="L22" s="147">
        <f>SUM(L5:L21)</f>
        <v/>
      </c>
      <c r="M22" s="132" t="n"/>
    </row>
    <row r="24">
      <c r="A24" s="148" t="inlineStr">
        <is>
          <t>Красные строки «Не эквивалент» — это уже не замена «один в один»: перед оплатой нужно подтвердить, что 10-секционный радиатор и угловой кран действительно нужны.</t>
        </is>
      </c>
      <c r="B24" s="149" t="n"/>
      <c r="C24" s="149" t="n"/>
      <c r="D24" s="149" t="n"/>
      <c r="E24" s="149" t="n"/>
      <c r="F24" s="149" t="n"/>
      <c r="G24" s="149" t="n"/>
      <c r="H24" s="149" t="n"/>
      <c r="I24" s="149" t="n"/>
      <c r="J24" s="149" t="n"/>
      <c r="K24" s="149" t="n"/>
      <c r="L24" s="149" t="n"/>
      <c r="M24" s="149" t="n"/>
    </row>
  </sheetData>
  <autoFilter ref="A4:M21"/>
  <mergeCells count="4">
    <mergeCell ref="A22:D22"/>
    <mergeCell ref="A24:M24"/>
    <mergeCell ref="A2:M2"/>
    <mergeCell ref="A1:M1"/>
  </mergeCells>
  <pageMargins left="0.4" right="0.4" top="0.5" bottom="0.5" header="0.5" footer="0.5"/>
  <pageSetup orientation="landscape" paperSize="9" fitToHeight="1" fitToWidth="1"/>
  <headerFooter>
    <oddHeader>&amp;L&amp;B Замены и аналоги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C0392B"/>
    <outlinePr summaryBelow="1" summaryRight="1"/>
    <pageSetUpPr fitToPage="1"/>
  </sheetPr>
  <dimension ref="B2:I26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2" customWidth="1" min="3" max="3"/>
    <col width="18" customWidth="1" min="4" max="4"/>
    <col width="14" customWidth="1" min="5" max="5"/>
    <col width="14" customWidth="1" min="6" max="6"/>
    <col width="14" customWidth="1" min="7" max="7"/>
    <col width="16" customWidth="1" min="8" max="8"/>
    <col width="48" customWidth="1" min="9" max="9"/>
    <col width="3" customWidth="1" min="10" max="10"/>
  </cols>
  <sheetData>
    <row r="1" ht="8" customHeight="1"/>
    <row r="2" ht="34" customHeight="1">
      <c r="B2" s="150" t="inlineStr">
        <is>
          <t>Не хватает и несовпадения</t>
        </is>
      </c>
      <c r="C2" s="151" t="n"/>
      <c r="D2" s="151" t="n"/>
      <c r="E2" s="151" t="n"/>
      <c r="F2" s="151" t="n"/>
      <c r="G2" s="151" t="n"/>
      <c r="H2" s="151" t="n"/>
      <c r="I2" s="151" t="n"/>
    </row>
    <row r="3">
      <c r="B3" s="152" t="inlineStr">
        <is>
          <t>Полностью отсутствующих позиций нет. Ниже — разница в количестве и случаи, когда под одним номером строки стоят разные товары.</t>
        </is>
      </c>
      <c r="C3" s="153" t="n"/>
      <c r="D3" s="153" t="n"/>
      <c r="E3" s="153" t="n"/>
      <c r="F3" s="153" t="n"/>
      <c r="G3" s="153" t="n"/>
      <c r="H3" s="153" t="n"/>
      <c r="I3" s="153" t="n"/>
    </row>
    <row r="5">
      <c r="B5" s="23" t="inlineStr">
        <is>
          <t>1. Количество: в МС меньше, чем в КЛ-1864</t>
        </is>
      </c>
      <c r="C5" s="24" t="n"/>
      <c r="D5" s="24" t="n"/>
      <c r="E5" s="24" t="n"/>
      <c r="F5" s="24" t="n"/>
      <c r="G5" s="24" t="n"/>
      <c r="H5" s="24" t="n"/>
      <c r="I5" s="24" t="n"/>
    </row>
    <row r="6">
      <c r="B6" s="34" t="inlineStr">
        <is>
          <t>Позиция</t>
        </is>
      </c>
      <c r="C6" s="34" t="inlineStr">
        <is>
          <t>Артикул</t>
        </is>
      </c>
      <c r="D6" s="34" t="inlineStr">
        <is>
          <t>Кол-во КЛ</t>
        </is>
      </c>
      <c r="E6" s="34" t="inlineStr">
        <is>
          <t>Кол-во МС</t>
        </is>
      </c>
      <c r="F6" s="34" t="inlineStr">
        <is>
          <t>Не хватает</t>
        </is>
      </c>
      <c r="G6" s="34" t="inlineStr">
        <is>
          <t>Цена КЛ, ₽</t>
        </is>
      </c>
      <c r="H6" s="34" t="inlineStr">
        <is>
          <t>Сумма нехватки, ₽</t>
        </is>
      </c>
      <c r="I6" s="34" t="inlineStr">
        <is>
          <t>Комментарий</t>
        </is>
      </c>
    </row>
    <row r="7" ht="32" customHeight="1">
      <c r="B7" s="154" t="inlineStr">
        <is>
          <t>Пресс соединение нар. 26×1″</t>
        </is>
      </c>
      <c r="C7" s="155" t="inlineStr">
        <is>
          <t>VTm.201.N.002606</t>
        </is>
      </c>
      <c r="D7" s="156" t="n">
        <v>10</v>
      </c>
      <c r="E7" s="156" t="n">
        <v>8</v>
      </c>
      <c r="F7" s="157" t="n">
        <v>2</v>
      </c>
      <c r="G7" s="158" t="n">
        <v>470.34</v>
      </c>
      <c r="H7" s="159" t="n">
        <v>940.6799999999999</v>
      </c>
      <c r="I7" s="154" t="inlineStr">
        <is>
          <t>В КЛ две строки (4+6), в МС три строки (4+2+2). Итого в МС на 2 шт меньше.</t>
        </is>
      </c>
    </row>
    <row r="8" ht="32" customHeight="1">
      <c r="B8" s="154" t="inlineStr">
        <is>
          <t>Пресс соединение нар. 26×3/4″</t>
        </is>
      </c>
      <c r="C8" s="155" t="inlineStr">
        <is>
          <t>VTm.201.N.002605</t>
        </is>
      </c>
      <c r="D8" s="156" t="n">
        <v>6</v>
      </c>
      <c r="E8" s="156" t="n">
        <v>5</v>
      </c>
      <c r="F8" s="157" t="n">
        <v>1</v>
      </c>
      <c r="G8" s="158" t="n">
        <v>443.82</v>
      </c>
      <c r="H8" s="159" t="n">
        <v>443.82</v>
      </c>
      <c r="I8" s="154" t="inlineStr">
        <is>
          <t>В КЛ одна строка 6 шт, в МС две строки (3+2). Итого в МС на 1 шт меньше.</t>
        </is>
      </c>
    </row>
    <row r="9">
      <c r="B9" s="123" t="inlineStr">
        <is>
          <t>Итого не хватает в МС</t>
        </is>
      </c>
      <c r="C9" s="160" t="n"/>
      <c r="D9" s="160" t="n"/>
      <c r="E9" s="160" t="n"/>
      <c r="F9" s="160" t="n"/>
      <c r="G9" s="160" t="n"/>
      <c r="H9" s="161">
        <f>H7+H8</f>
        <v/>
      </c>
      <c r="I9" s="160" t="n"/>
    </row>
    <row r="11">
      <c r="B11" s="23" t="inlineStr">
        <is>
          <t>2. Разный товар под «той же» позицией спецификации</t>
        </is>
      </c>
      <c r="C11" s="24" t="n"/>
      <c r="D11" s="24" t="n"/>
      <c r="E11" s="24" t="n"/>
      <c r="F11" s="24" t="n"/>
      <c r="G11" s="24" t="n"/>
      <c r="H11" s="24" t="n"/>
      <c r="I11" s="24" t="n"/>
    </row>
    <row r="12">
      <c r="B12" s="34" t="inlineStr">
        <is>
          <t>Что в КЛ-1864</t>
        </is>
      </c>
      <c r="C12" s="34" t="inlineStr">
        <is>
          <t>Что в МС</t>
        </is>
      </c>
      <c r="D12" s="34" t="inlineStr">
        <is>
          <t>Кол-во</t>
        </is>
      </c>
      <c r="E12" s="34" t="inlineStr">
        <is>
          <t>Цена КЛ</t>
        </is>
      </c>
      <c r="F12" s="34" t="inlineStr">
        <is>
          <t>Цена МС</t>
        </is>
      </c>
      <c r="G12" s="34" t="inlineStr">
        <is>
          <t>Δ цены</t>
        </is>
      </c>
      <c r="H12" s="34" t="inlineStr">
        <is>
          <t>Δ суммы</t>
        </is>
      </c>
      <c r="I12" s="34" t="inlineStr">
        <is>
          <t>Почему это проблема</t>
        </is>
      </c>
    </row>
    <row r="13" ht="48" customHeight="1">
      <c r="B13" s="71" t="inlineStr">
        <is>
          <t>RT Revolution 500, 6 секций</t>
        </is>
      </c>
      <c r="C13" s="71" t="inlineStr">
        <is>
          <t>RT MONOBLOCK A 500, 10 секций</t>
        </is>
      </c>
      <c r="D13" s="136" t="n">
        <v>6</v>
      </c>
      <c r="E13" s="137" t="n">
        <v>5500.2</v>
      </c>
      <c r="F13" s="137" t="n">
        <v>10856</v>
      </c>
      <c r="G13" s="162" t="n">
        <v>0.9737464092214829</v>
      </c>
      <c r="H13" s="163" t="n">
        <v>32134.8</v>
      </c>
      <c r="I13" s="71" t="inlineStr">
        <is>
          <t>Другая серия и на 4 секции больше. Теплоотдача, цена и габарит несопоставимы. МС дороже на 97% (+32 135 ₽).</t>
        </is>
      </c>
    </row>
    <row r="14" ht="48" customHeight="1">
      <c r="B14" s="71" t="inlineStr">
        <is>
          <t>Кран VALTEC VT.227S.N.06 прямой 1″ со сгоном</t>
        </is>
      </c>
      <c r="C14" s="71" t="inlineStr">
        <is>
          <t>Кран VALTEC VT.228.N.06 угловой 1″ с полусгоном</t>
        </is>
      </c>
      <c r="D14" s="136" t="n">
        <v>4</v>
      </c>
      <c r="E14" s="137" t="n">
        <v>1732.38</v>
      </c>
      <c r="F14" s="137" t="n">
        <v>2256</v>
      </c>
      <c r="G14" s="162" t="n">
        <v>0.3022547016243549</v>
      </c>
      <c r="H14" s="163" t="n">
        <v>2094.48</v>
      </c>
      <c r="I14" s="71" t="inlineStr">
        <is>
          <t>Прямой кран нельзя без проекта менять на угловой: другая геометрия обвязки котла/коллектора. МС дороже на 30%.</t>
        </is>
      </c>
    </row>
    <row r="16">
      <c r="B16" s="61" t="inlineStr">
        <is>
          <t>3. Чего нет «лишнего»</t>
        </is>
      </c>
      <c r="C16" s="62" t="n"/>
      <c r="D16" s="62" t="n"/>
      <c r="E16" s="62" t="n"/>
      <c r="F16" s="62" t="n"/>
      <c r="G16" s="62" t="n"/>
      <c r="H16" s="62" t="n"/>
      <c r="I16" s="62" t="n"/>
    </row>
    <row r="17" ht="22" customHeight="1">
      <c r="B17" s="164" t="inlineStr">
        <is>
          <t>В МС нет позиций, которых не было бы в КЛ-1864 по смыслу. Оба документа закрывают один комплект: радиаторы, обвязка, трубы VALTEC 16/20/26, изоляция, коллекторы 5+8, два смесительных узла COMBI, 4 насоса RS 25/6, гидрострелка, насос ГВС, краны и фитинги. Расхождение — в брендах аналогов, в двух критичных заменах выше и в трёх пресс-фитингах.</t>
        </is>
      </c>
      <c r="C17" s="165" t="n"/>
      <c r="D17" s="165" t="n"/>
      <c r="E17" s="165" t="n"/>
      <c r="F17" s="165" t="n"/>
      <c r="G17" s="165" t="n"/>
      <c r="H17" s="165" t="n"/>
      <c r="I17" s="165" t="n"/>
    </row>
    <row r="18" ht="28" customHeight="1">
      <c r="B18" s="165" t="n"/>
      <c r="C18" s="165" t="n"/>
      <c r="D18" s="165" t="n"/>
      <c r="E18" s="165" t="n"/>
      <c r="F18" s="165" t="n"/>
      <c r="G18" s="165" t="n"/>
      <c r="H18" s="165" t="n"/>
      <c r="I18" s="165" t="n"/>
    </row>
    <row r="20">
      <c r="B20" s="23" t="inlineStr">
        <is>
          <t>4. Контроль количества по всем 41 позициям</t>
        </is>
      </c>
      <c r="C20" s="24" t="n"/>
      <c r="D20" s="24" t="n"/>
      <c r="E20" s="24" t="n"/>
      <c r="F20" s="24" t="n"/>
      <c r="G20" s="24" t="n"/>
      <c r="H20" s="24" t="n"/>
      <c r="I20" s="24" t="n"/>
    </row>
    <row r="21">
      <c r="B21" s="166" t="inlineStr">
        <is>
          <t>Формула с листа «Сравнение позиций»: если Δ кол-во ≠ 0, строка попадает в список. Сейчас таких строк две (см. блок 1).</t>
        </is>
      </c>
      <c r="C21" s="84" t="n"/>
      <c r="D21" s="84" t="n"/>
      <c r="E21" s="84" t="n"/>
      <c r="F21" s="84" t="n"/>
      <c r="G21" s="84" t="n"/>
      <c r="H21" s="84" t="n"/>
      <c r="I21" s="84" t="n"/>
    </row>
    <row r="23" ht="22" customHeight="1">
      <c r="B23" s="167" t="inlineStr">
        <is>
          <t>Позиций с разным количеством</t>
        </is>
      </c>
      <c r="C23" s="168">
        <f>COUNTIF('Сравнение позиций'!Q6:Q46,"&lt;&gt;0")</f>
        <v/>
      </c>
      <c r="D23" s="169" t="inlineStr">
        <is>
          <t>См. блок 1 на этом листе</t>
        </is>
      </c>
      <c r="E23" s="170" t="n"/>
      <c r="F23" s="170" t="n"/>
      <c r="G23" s="170" t="n"/>
      <c r="H23" s="170" t="n"/>
      <c r="I23" s="171" t="n"/>
    </row>
    <row r="24" ht="22" customHeight="1">
      <c r="B24" s="53" t="inlineStr">
        <is>
          <t>Позиций-аналогов</t>
        </is>
      </c>
      <c r="C24" s="172">
        <f>COUNTIF('Сравнение позиций'!P6:P46,"Аналог")</f>
        <v/>
      </c>
      <c r="D24" s="173" t="inlineStr">
        <is>
          <t>См. лист «Замены и аналоги»</t>
        </is>
      </c>
      <c r="E24" s="170" t="n"/>
      <c r="F24" s="170" t="n"/>
      <c r="G24" s="170" t="n"/>
      <c r="H24" s="170" t="n"/>
      <c r="I24" s="171" t="n"/>
    </row>
    <row r="25" ht="22" customHeight="1">
      <c r="B25" s="57" t="inlineStr">
        <is>
          <t>Позиций «не эквивалент»</t>
        </is>
      </c>
      <c r="C25" s="174">
        <f>COUNTIF('Сравнение позиций'!P6:P46,"Не эквивалент")</f>
        <v/>
      </c>
      <c r="D25" s="175" t="inlineStr">
        <is>
          <t>Радиатор 6→10 секц. и кран прямой→угловой</t>
        </is>
      </c>
      <c r="E25" s="170" t="n"/>
      <c r="F25" s="170" t="n"/>
      <c r="G25" s="170" t="n"/>
      <c r="H25" s="170" t="n"/>
      <c r="I25" s="171" t="n"/>
    </row>
    <row r="26" ht="22" customHeight="1">
      <c r="B26" s="49" t="inlineStr">
        <is>
          <t>Позиций один в один</t>
        </is>
      </c>
      <c r="C26" s="176">
        <f>COUNTIF('Сравнение позиций'!P6:P46,"Одинаковый артикул")+COUNTIF('Сравнение позиций'!P6:P46,"Одинаковый товар")</f>
        <v/>
      </c>
      <c r="D26" s="165" t="inlineStr">
        <is>
          <t>Можно сравнивать цены напрямую, без оговорок по модели</t>
        </is>
      </c>
      <c r="E26" s="170" t="n"/>
      <c r="F26" s="170" t="n"/>
      <c r="G26" s="170" t="n"/>
      <c r="H26" s="170" t="n"/>
      <c r="I26" s="171" t="n"/>
    </row>
  </sheetData>
  <mergeCells count="13">
    <mergeCell ref="D24:I24"/>
    <mergeCell ref="B21:I21"/>
    <mergeCell ref="B11:I11"/>
    <mergeCell ref="B17:I18"/>
    <mergeCell ref="B2:I2"/>
    <mergeCell ref="B16:I16"/>
    <mergeCell ref="B9:G9"/>
    <mergeCell ref="B20:I20"/>
    <mergeCell ref="D23:I23"/>
    <mergeCell ref="B3:I3"/>
    <mergeCell ref="B5:I5"/>
    <mergeCell ref="D26:I26"/>
    <mergeCell ref="D25:I25"/>
  </mergeCells>
  <pageMargins left="0.4" right="0.4" top="0.5" bottom="0.5" header="0.5" footer="0.5"/>
  <pageSetup orientation="landscape" paperSize="9" fitToHeight="1" fitToWidth="1"/>
  <headerFooter>
    <oddHeader>&amp;L&amp;B Не хватает и несовпадения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Сравнительная аналитика счетов</dc:creator>
  <dc:title>Сравнение счетов КЛ-1864 и МС</dc:title>
  <dc:description>Сравнение счёта на оплату № КЛ-1864 (ИП Абдулрашитов) и расходной накладной / товарного чека МС (ИП Баширова С.М.)</dc:description>
  <dc:subject>Отопление / тёплый пол, 07.09.2026</dc:subject>
  <dcterms:created xsi:type="dcterms:W3CDTF">2026-09-08T10:26:15Z</dcterms:created>
  <dcterms:modified xsi:type="dcterms:W3CDTF">2026-09-08T10:26:15Z</dcterms:modified>
</cp:coreProperties>
</file>